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188323\Downloads\"/>
    </mc:Choice>
  </mc:AlternateContent>
  <xr:revisionPtr revIDLastSave="0" documentId="13_ncr:1_{DBA9EC6F-D88D-4C0B-BF32-5FB3C4B7AA02}" xr6:coauthVersionLast="36" xr6:coauthVersionMax="47" xr10:uidLastSave="{00000000-0000-0000-0000-000000000000}"/>
  <bookViews>
    <workbookView xWindow="-120" yWindow="-120" windowWidth="29040" windowHeight="16440" xr2:uid="{9828384D-6036-49E5-A7FA-5BAF01AAA08E}"/>
  </bookViews>
  <sheets>
    <sheet name="4.1(86)" sheetId="1" r:id="rId1"/>
    <sheet name="4.2(87-93)" sheetId="2" r:id="rId2"/>
    <sheet name="4.3(97-100)" sheetId="3" r:id="rId3"/>
    <sheet name="4.4(105-108)" sheetId="4" r:id="rId4"/>
    <sheet name="4.5(114-120)" sheetId="5" r:id="rId5"/>
    <sheet name="4.6(128-130)" sheetId="6" r:id="rId6"/>
    <sheet name="Пример 4.7 (130-131)" sheetId="7" r:id="rId7"/>
    <sheet name="Пример 4.8 (131-134)" sheetId="8" r:id="rId8"/>
    <sheet name="Пример 4.9 (145-148)" sheetId="9" r:id="rId9"/>
    <sheet name="Пример 4.10 (153-157)" sheetId="10" r:id="rId10"/>
    <sheet name="Пример 4.11 (157-163)" sheetId="11" r:id="rId11"/>
  </sheets>
  <definedNames>
    <definedName name="_xlnm._FilterDatabase" localSheetId="2" hidden="1">'4.3(97-100)'!$A$1:$D$73</definedName>
    <definedName name="_xlnm._FilterDatabase" localSheetId="3" hidden="1">'4.4(105-108)'!$A$1:$E$19</definedName>
    <definedName name="_xlnm._FilterDatabase" localSheetId="7" hidden="1">'Пример 4.8 (131-134)'!$A$1:$C$35</definedName>
    <definedName name="_xlnm.Extract" localSheetId="2">'4.3(97-100)'!$V$5:$Y$5</definedName>
    <definedName name="_xlnm.Extract" localSheetId="3">'4.4(105-108)'!$N$6:$R$6</definedName>
    <definedName name="_xlnm.Criteria" localSheetId="2">'4.3(97-100)'!$V$2:$Y$3</definedName>
    <definedName name="_xlnm.Criteria" localSheetId="3">'4.4(105-108)'!$N$3:$R$4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B204" i="11" l="1"/>
  <c r="C204" i="11"/>
  <c r="D204" i="11"/>
  <c r="E204" i="11"/>
  <c r="F204" i="11"/>
  <c r="G204" i="11"/>
  <c r="B205" i="11"/>
  <c r="C205" i="11"/>
  <c r="D205" i="11"/>
  <c r="E205" i="11"/>
  <c r="F205" i="11"/>
  <c r="G205" i="11"/>
  <c r="B206" i="11"/>
  <c r="C206" i="11"/>
  <c r="D206" i="11"/>
  <c r="E206" i="11"/>
  <c r="F206" i="11"/>
  <c r="G206" i="11"/>
  <c r="B207" i="11"/>
  <c r="C207" i="11"/>
  <c r="D207" i="11"/>
  <c r="E207" i="11"/>
  <c r="F207" i="11"/>
  <c r="G207" i="11"/>
  <c r="B208" i="11"/>
  <c r="C208" i="11"/>
  <c r="D208" i="11"/>
  <c r="E208" i="11"/>
  <c r="F208" i="11"/>
  <c r="G208" i="11"/>
  <c r="B209" i="11"/>
  <c r="C209" i="11"/>
  <c r="D209" i="11"/>
  <c r="E209" i="11"/>
  <c r="F209" i="11"/>
  <c r="G209" i="11"/>
  <c r="B210" i="11"/>
  <c r="C210" i="11"/>
  <c r="D210" i="11"/>
  <c r="E210" i="11"/>
  <c r="F210" i="11"/>
  <c r="G210" i="11"/>
  <c r="B211" i="11"/>
  <c r="C211" i="11"/>
  <c r="D211" i="11"/>
  <c r="E211" i="11"/>
  <c r="F211" i="11"/>
  <c r="G211" i="11"/>
  <c r="B212" i="11"/>
  <c r="C212" i="11"/>
  <c r="D212" i="11"/>
  <c r="E212" i="11"/>
  <c r="F212" i="11"/>
  <c r="G212" i="11"/>
  <c r="B213" i="11"/>
  <c r="C213" i="11"/>
  <c r="D213" i="11"/>
  <c r="E213" i="11"/>
  <c r="F213" i="11"/>
  <c r="G213" i="11"/>
  <c r="B214" i="11"/>
  <c r="C214" i="11"/>
  <c r="D214" i="11"/>
  <c r="E214" i="11"/>
  <c r="F214" i="11"/>
  <c r="G214" i="11"/>
  <c r="B215" i="11"/>
  <c r="C215" i="11"/>
  <c r="D215" i="11"/>
  <c r="E215" i="11"/>
  <c r="F215" i="11"/>
  <c r="G215" i="11"/>
  <c r="B216" i="11"/>
  <c r="C216" i="11"/>
  <c r="D216" i="11"/>
  <c r="E216" i="11"/>
  <c r="F216" i="11"/>
  <c r="G216" i="11"/>
  <c r="B217" i="11"/>
  <c r="C217" i="11"/>
  <c r="D217" i="11"/>
  <c r="E217" i="11"/>
  <c r="F217" i="11"/>
  <c r="G217" i="11"/>
  <c r="G203" i="11"/>
  <c r="F203" i="11"/>
  <c r="E203" i="11"/>
  <c r="D203" i="11"/>
  <c r="C203" i="11"/>
  <c r="A223" i="11" s="1"/>
  <c r="B203" i="11"/>
  <c r="B139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39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C139" i="11"/>
  <c r="C153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75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20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1" i="9"/>
  <c r="L39" i="7"/>
  <c r="L38" i="7"/>
  <c r="L37" i="7"/>
  <c r="L36" i="7"/>
  <c r="L35" i="7"/>
  <c r="L34" i="7"/>
  <c r="L33" i="7"/>
  <c r="K39" i="7"/>
  <c r="K38" i="7"/>
  <c r="K37" i="7"/>
  <c r="K36" i="7"/>
  <c r="K35" i="7"/>
  <c r="K34" i="7"/>
  <c r="K33" i="7"/>
  <c r="N2" i="7"/>
  <c r="M2" i="7"/>
  <c r="L2" i="7"/>
  <c r="K2" i="7"/>
  <c r="J2" i="7"/>
  <c r="H2" i="7"/>
  <c r="J39" i="7"/>
  <c r="J38" i="7"/>
  <c r="J37" i="7"/>
  <c r="J36" i="7"/>
  <c r="J35" i="7"/>
  <c r="J34" i="7"/>
  <c r="J33" i="7"/>
  <c r="M39" i="7"/>
  <c r="M38" i="7"/>
  <c r="M37" i="7"/>
  <c r="M36" i="7"/>
  <c r="M35" i="7"/>
  <c r="M34" i="7"/>
  <c r="M33" i="7"/>
  <c r="N10" i="7"/>
  <c r="D223" i="11" l="1"/>
  <c r="E223" i="11"/>
  <c r="C223" i="11"/>
  <c r="A159" i="11"/>
  <c r="B223" i="11"/>
  <c r="F159" i="11"/>
  <c r="A95" i="11"/>
  <c r="E159" i="11"/>
  <c r="D159" i="11"/>
  <c r="C159" i="11"/>
  <c r="B159" i="11"/>
  <c r="C95" i="11"/>
  <c r="E95" i="11"/>
  <c r="D95" i="11"/>
  <c r="B95" i="11"/>
  <c r="F40" i="11"/>
  <c r="A40" i="11"/>
  <c r="E40" i="11"/>
  <c r="C40" i="11"/>
  <c r="D40" i="11"/>
  <c r="B40" i="11"/>
  <c r="H3" i="7" l="1"/>
  <c r="I3" i="7"/>
  <c r="J3" i="7"/>
  <c r="K3" i="7"/>
  <c r="L3" i="7"/>
  <c r="M3" i="7"/>
  <c r="N3" i="7"/>
  <c r="H4" i="7"/>
  <c r="I4" i="7"/>
  <c r="J4" i="7"/>
  <c r="K4" i="7"/>
  <c r="L4" i="7"/>
  <c r="M4" i="7"/>
  <c r="N4" i="7"/>
  <c r="H5" i="7"/>
  <c r="I5" i="7"/>
  <c r="J5" i="7"/>
  <c r="K5" i="7"/>
  <c r="L5" i="7"/>
  <c r="M5" i="7"/>
  <c r="N5" i="7"/>
  <c r="H6" i="7"/>
  <c r="I6" i="7"/>
  <c r="J6" i="7"/>
  <c r="K6" i="7"/>
  <c r="L6" i="7"/>
  <c r="M6" i="7"/>
  <c r="N6" i="7"/>
  <c r="H7" i="7"/>
  <c r="I7" i="7"/>
  <c r="J7" i="7"/>
  <c r="K7" i="7"/>
  <c r="L7" i="7"/>
  <c r="M7" i="7"/>
  <c r="N7" i="7"/>
  <c r="H8" i="7"/>
  <c r="I8" i="7"/>
  <c r="J8" i="7"/>
  <c r="K8" i="7"/>
  <c r="L8" i="7"/>
  <c r="M8" i="7"/>
  <c r="N8" i="7"/>
  <c r="H9" i="7"/>
  <c r="I9" i="7"/>
  <c r="J9" i="7"/>
  <c r="K9" i="7"/>
  <c r="L9" i="7"/>
  <c r="M9" i="7"/>
  <c r="N9" i="7"/>
  <c r="H10" i="7"/>
  <c r="I10" i="7"/>
  <c r="J10" i="7"/>
  <c r="K10" i="7"/>
  <c r="L10" i="7"/>
  <c r="M10" i="7"/>
  <c r="H11" i="7"/>
  <c r="I11" i="7"/>
  <c r="J11" i="7"/>
  <c r="K11" i="7"/>
  <c r="L11" i="7"/>
  <c r="M11" i="7"/>
  <c r="N11" i="7"/>
  <c r="H12" i="7"/>
  <c r="I12" i="7"/>
  <c r="J12" i="7"/>
  <c r="K12" i="7"/>
  <c r="L12" i="7"/>
  <c r="M12" i="7"/>
  <c r="N12" i="7"/>
  <c r="H13" i="7"/>
  <c r="I13" i="7"/>
  <c r="J13" i="7"/>
  <c r="K13" i="7"/>
  <c r="L13" i="7"/>
  <c r="M13" i="7"/>
  <c r="N13" i="7"/>
  <c r="H14" i="7"/>
  <c r="I14" i="7"/>
  <c r="J14" i="7"/>
  <c r="K14" i="7"/>
  <c r="L14" i="7"/>
  <c r="M14" i="7"/>
  <c r="N14" i="7"/>
  <c r="H15" i="7"/>
  <c r="I15" i="7"/>
  <c r="J15" i="7"/>
  <c r="K15" i="7"/>
  <c r="L15" i="7"/>
  <c r="M15" i="7"/>
  <c r="N15" i="7"/>
  <c r="H16" i="7"/>
  <c r="I16" i="7"/>
  <c r="J16" i="7"/>
  <c r="K16" i="7"/>
  <c r="L16" i="7"/>
  <c r="M16" i="7"/>
  <c r="N16" i="7"/>
  <c r="H17" i="7"/>
  <c r="I17" i="7"/>
  <c r="J17" i="7"/>
  <c r="K17" i="7"/>
  <c r="L17" i="7"/>
  <c r="M17" i="7"/>
  <c r="N17" i="7"/>
  <c r="H18" i="7"/>
  <c r="I18" i="7"/>
  <c r="J18" i="7"/>
  <c r="K18" i="7"/>
  <c r="L18" i="7"/>
  <c r="M18" i="7"/>
  <c r="N18" i="7"/>
  <c r="H19" i="7"/>
  <c r="I19" i="7"/>
  <c r="J19" i="7"/>
  <c r="K19" i="7"/>
  <c r="L19" i="7"/>
  <c r="M19" i="7"/>
  <c r="N19" i="7"/>
  <c r="H20" i="7"/>
  <c r="I20" i="7"/>
  <c r="J20" i="7"/>
  <c r="K20" i="7"/>
  <c r="L20" i="7"/>
  <c r="M20" i="7"/>
  <c r="N20" i="7"/>
  <c r="H21" i="7"/>
  <c r="I21" i="7"/>
  <c r="J21" i="7"/>
  <c r="K21" i="7"/>
  <c r="L21" i="7"/>
  <c r="M21" i="7"/>
  <c r="N21" i="7"/>
  <c r="H22" i="7"/>
  <c r="I22" i="7"/>
  <c r="J22" i="7"/>
  <c r="K22" i="7"/>
  <c r="L22" i="7"/>
  <c r="M22" i="7"/>
  <c r="N22" i="7"/>
  <c r="H23" i="7"/>
  <c r="I23" i="7"/>
  <c r="J23" i="7"/>
  <c r="K23" i="7"/>
  <c r="L23" i="7"/>
  <c r="M23" i="7"/>
  <c r="N23" i="7"/>
  <c r="H24" i="7"/>
  <c r="I24" i="7"/>
  <c r="J24" i="7"/>
  <c r="K24" i="7"/>
  <c r="L24" i="7"/>
  <c r="M24" i="7"/>
  <c r="N24" i="7"/>
  <c r="H25" i="7"/>
  <c r="I25" i="7"/>
  <c r="J25" i="7"/>
  <c r="K25" i="7"/>
  <c r="L25" i="7"/>
  <c r="M25" i="7"/>
  <c r="N25" i="7"/>
  <c r="H26" i="7"/>
  <c r="I26" i="7"/>
  <c r="J26" i="7"/>
  <c r="K26" i="7"/>
  <c r="L26" i="7"/>
  <c r="M26" i="7"/>
  <c r="N26" i="7"/>
  <c r="H27" i="7"/>
  <c r="I27" i="7"/>
  <c r="J27" i="7"/>
  <c r="K27" i="7"/>
  <c r="L27" i="7"/>
  <c r="M27" i="7"/>
  <c r="N27" i="7"/>
  <c r="H28" i="7"/>
  <c r="I28" i="7"/>
  <c r="J28" i="7"/>
  <c r="K28" i="7"/>
  <c r="L28" i="7"/>
  <c r="M28" i="7"/>
  <c r="N28" i="7"/>
  <c r="H29" i="7"/>
  <c r="I29" i="7"/>
  <c r="J29" i="7"/>
  <c r="K29" i="7"/>
  <c r="L29" i="7"/>
  <c r="M29" i="7"/>
  <c r="N29" i="7"/>
  <c r="I2" i="7"/>
  <c r="B34" i="7"/>
  <c r="I2" i="6"/>
  <c r="G109" i="2"/>
  <c r="G108" i="2"/>
  <c r="G107" i="2"/>
  <c r="G106" i="2"/>
  <c r="D109" i="2"/>
  <c r="D108" i="2"/>
  <c r="D107" i="2" a="1"/>
  <c r="D107" i="2" s="1"/>
  <c r="D106" i="2"/>
  <c r="B102" i="2"/>
  <c r="B92" i="2"/>
  <c r="B93" i="2"/>
  <c r="B94" i="2"/>
  <c r="B95" i="2"/>
  <c r="B101" i="2" s="1"/>
  <c r="B96" i="2"/>
  <c r="B97" i="2"/>
  <c r="B98" i="2"/>
  <c r="B99" i="2"/>
  <c r="B100" i="2"/>
  <c r="B91" i="2"/>
  <c r="D86" i="2"/>
  <c r="D83" i="2"/>
  <c r="B68" i="2"/>
  <c r="D55" i="2"/>
  <c r="C55" i="2"/>
  <c r="B55" i="2"/>
  <c r="E36" i="2"/>
  <c r="G46" i="2"/>
  <c r="C54" i="2"/>
  <c r="D54" i="2"/>
  <c r="B54" i="2"/>
  <c r="G48" i="2" s="1"/>
  <c r="C53" i="2"/>
  <c r="D53" i="2"/>
  <c r="B53" i="2"/>
  <c r="E38" i="2"/>
  <c r="E37" i="2"/>
  <c r="B36" i="2"/>
  <c r="G20" i="2" a="1"/>
  <c r="G20" i="2" s="1"/>
  <c r="L20" i="2" s="1" a="1"/>
  <c r="L20" i="2" s="1"/>
  <c r="B37" i="2"/>
  <c r="B38" i="2"/>
  <c r="G16" i="2" a="1"/>
  <c r="G16" i="2" s="1"/>
  <c r="G24" i="2" s="1" a="1"/>
  <c r="G24" i="2" s="1"/>
  <c r="E2" i="6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J3" i="9"/>
  <c r="I3" i="9"/>
  <c r="J2" i="9"/>
  <c r="I2" i="9"/>
  <c r="D2" i="9"/>
  <c r="D3" i="9"/>
  <c r="E3" i="9" s="1"/>
  <c r="G3" i="9" s="1"/>
  <c r="D4" i="9"/>
  <c r="E4" i="9" s="1"/>
  <c r="D5" i="9"/>
  <c r="E5" i="9" s="1"/>
  <c r="G5" i="9" s="1"/>
  <c r="D6" i="9"/>
  <c r="E6" i="9" s="1"/>
  <c r="D7" i="9"/>
  <c r="E7" i="9" s="1"/>
  <c r="D8" i="9"/>
  <c r="E8" i="9" s="1"/>
  <c r="D9" i="9"/>
  <c r="E9" i="9" s="1"/>
  <c r="D10" i="9"/>
  <c r="E10" i="9" s="1"/>
  <c r="D11" i="9"/>
  <c r="E11" i="9" s="1"/>
  <c r="G11" i="9" s="1"/>
  <c r="D12" i="9"/>
  <c r="E12" i="9" s="1"/>
  <c r="D13" i="9"/>
  <c r="E13" i="9" s="1"/>
  <c r="G13" i="9" s="1"/>
  <c r="D14" i="9"/>
  <c r="E14" i="9" s="1"/>
  <c r="D15" i="9"/>
  <c r="E15" i="9" s="1"/>
  <c r="D16" i="9"/>
  <c r="E16" i="9" s="1"/>
  <c r="D17" i="9"/>
  <c r="E17" i="9" s="1"/>
  <c r="D18" i="9"/>
  <c r="E18" i="9" s="1"/>
  <c r="D19" i="9"/>
  <c r="E19" i="9" s="1"/>
  <c r="G19" i="9" s="1"/>
  <c r="D20" i="9"/>
  <c r="E20" i="9" s="1"/>
  <c r="D21" i="9"/>
  <c r="E21" i="9" s="1"/>
  <c r="G21" i="9" s="1"/>
  <c r="D22" i="9"/>
  <c r="E22" i="9" s="1"/>
  <c r="D23" i="9"/>
  <c r="E23" i="9" s="1"/>
  <c r="D24" i="9"/>
  <c r="E24" i="9" s="1"/>
  <c r="D25" i="9"/>
  <c r="E25" i="9" s="1"/>
  <c r="D26" i="9"/>
  <c r="E26" i="9" s="1"/>
  <c r="B100" i="8"/>
  <c r="B101" i="8"/>
  <c r="K63" i="8"/>
  <c r="K64" i="8"/>
  <c r="K65" i="8"/>
  <c r="K66" i="8"/>
  <c r="K67" i="8"/>
  <c r="K68" i="8"/>
  <c r="K69" i="8"/>
  <c r="K70" i="8"/>
  <c r="K71" i="8"/>
  <c r="K72" i="8"/>
  <c r="K62" i="8"/>
  <c r="J63" i="8"/>
  <c r="J64" i="8"/>
  <c r="J65" i="8"/>
  <c r="J66" i="8"/>
  <c r="J67" i="8"/>
  <c r="J68" i="8"/>
  <c r="J69" i="8"/>
  <c r="J70" i="8"/>
  <c r="J71" i="8"/>
  <c r="J72" i="8"/>
  <c r="J62" i="8"/>
  <c r="G63" i="8"/>
  <c r="G64" i="8"/>
  <c r="G65" i="8"/>
  <c r="G66" i="8"/>
  <c r="G67" i="8"/>
  <c r="G68" i="8"/>
  <c r="G69" i="8"/>
  <c r="G70" i="8"/>
  <c r="G71" i="8"/>
  <c r="G72" i="8"/>
  <c r="G62" i="8"/>
  <c r="F63" i="8"/>
  <c r="F64" i="8"/>
  <c r="F65" i="8"/>
  <c r="F66" i="8"/>
  <c r="F67" i="8"/>
  <c r="F68" i="8"/>
  <c r="F69" i="8"/>
  <c r="F70" i="8"/>
  <c r="F71" i="8"/>
  <c r="F72" i="8"/>
  <c r="F62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61" i="8"/>
  <c r="B42" i="8"/>
  <c r="C41" i="4"/>
  <c r="B41" i="8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B21" i="7"/>
  <c r="E21" i="7" s="1"/>
  <c r="F21" i="7" s="1"/>
  <c r="D20" i="7"/>
  <c r="B20" i="7"/>
  <c r="D19" i="7"/>
  <c r="B19" i="7"/>
  <c r="D18" i="7"/>
  <c r="B18" i="7"/>
  <c r="D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B9" i="7"/>
  <c r="E9" i="7" s="1"/>
  <c r="F9" i="7" s="1"/>
  <c r="D8" i="7"/>
  <c r="B8" i="7"/>
  <c r="D7" i="7"/>
  <c r="B7" i="7"/>
  <c r="D6" i="7"/>
  <c r="B6" i="7"/>
  <c r="D5" i="7"/>
  <c r="B5" i="7"/>
  <c r="D4" i="7"/>
  <c r="B4" i="7"/>
  <c r="D3" i="7"/>
  <c r="B3" i="7"/>
  <c r="D2" i="7"/>
  <c r="B2" i="7"/>
  <c r="I4" i="6"/>
  <c r="D3" i="6"/>
  <c r="D4" i="6"/>
  <c r="D5" i="6"/>
  <c r="D6" i="6"/>
  <c r="D7" i="6"/>
  <c r="D8" i="6"/>
  <c r="D10" i="6"/>
  <c r="D11" i="6"/>
  <c r="D12" i="6"/>
  <c r="D13" i="6"/>
  <c r="D14" i="6"/>
  <c r="D15" i="6"/>
  <c r="D16" i="6"/>
  <c r="D17" i="6"/>
  <c r="D18" i="6"/>
  <c r="D19" i="6"/>
  <c r="D20" i="6"/>
  <c r="D22" i="6"/>
  <c r="D23" i="6"/>
  <c r="D24" i="6"/>
  <c r="D25" i="6"/>
  <c r="D26" i="6"/>
  <c r="D27" i="6"/>
  <c r="D28" i="6"/>
  <c r="D29" i="6"/>
  <c r="D2" i="6"/>
  <c r="B3" i="6"/>
  <c r="E3" i="6" s="1"/>
  <c r="F3" i="6" s="1"/>
  <c r="B4" i="6"/>
  <c r="E4" i="6" s="1"/>
  <c r="F4" i="6" s="1"/>
  <c r="B5" i="6"/>
  <c r="E5" i="6" s="1"/>
  <c r="F5" i="6" s="1"/>
  <c r="B6" i="6"/>
  <c r="E6" i="6" s="1"/>
  <c r="F6" i="6" s="1"/>
  <c r="B7" i="6"/>
  <c r="B8" i="6"/>
  <c r="B9" i="6"/>
  <c r="B10" i="6"/>
  <c r="B11" i="6"/>
  <c r="E11" i="6" s="1"/>
  <c r="F11" i="6" s="1"/>
  <c r="B12" i="6"/>
  <c r="E12" i="6" s="1"/>
  <c r="F12" i="6" s="1"/>
  <c r="B13" i="6"/>
  <c r="E13" i="6" s="1"/>
  <c r="F13" i="6" s="1"/>
  <c r="B14" i="6"/>
  <c r="E14" i="6" s="1"/>
  <c r="F14" i="6" s="1"/>
  <c r="B15" i="6"/>
  <c r="B16" i="6"/>
  <c r="B17" i="6"/>
  <c r="B18" i="6"/>
  <c r="B19" i="6"/>
  <c r="E19" i="6" s="1"/>
  <c r="F19" i="6" s="1"/>
  <c r="B20" i="6"/>
  <c r="E20" i="6" s="1"/>
  <c r="F20" i="6" s="1"/>
  <c r="B21" i="6"/>
  <c r="E21" i="6" s="1"/>
  <c r="F21" i="6" s="1"/>
  <c r="B22" i="6"/>
  <c r="E22" i="6" s="1"/>
  <c r="F22" i="6" s="1"/>
  <c r="B23" i="6"/>
  <c r="B24" i="6"/>
  <c r="B25" i="6"/>
  <c r="B26" i="6"/>
  <c r="B27" i="6"/>
  <c r="E27" i="6" s="1"/>
  <c r="F27" i="6" s="1"/>
  <c r="B28" i="6"/>
  <c r="E28" i="6" s="1"/>
  <c r="F28" i="6" s="1"/>
  <c r="B29" i="6"/>
  <c r="E29" i="6" s="1"/>
  <c r="F29" i="6" s="1"/>
  <c r="B2" i="6"/>
  <c r="F2" i="6" s="1"/>
  <c r="C40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2" i="3"/>
  <c r="I27" i="9" l="1"/>
  <c r="J27" i="9"/>
  <c r="E2" i="9"/>
  <c r="G2" i="9" s="1"/>
  <c r="G43" i="2"/>
  <c r="G52" i="2"/>
  <c r="G51" i="2"/>
  <c r="G47" i="2"/>
  <c r="G45" i="2"/>
  <c r="G44" i="2"/>
  <c r="G50" i="2"/>
  <c r="F29" i="2" a="1"/>
  <c r="G49" i="2"/>
  <c r="F25" i="9"/>
  <c r="H25" i="9" s="1"/>
  <c r="G25" i="9"/>
  <c r="G17" i="9"/>
  <c r="F17" i="9"/>
  <c r="H17" i="9" s="1"/>
  <c r="F9" i="9"/>
  <c r="H9" i="9" s="1"/>
  <c r="G9" i="9"/>
  <c r="G24" i="9"/>
  <c r="F24" i="9"/>
  <c r="H24" i="9" s="1"/>
  <c r="G16" i="9"/>
  <c r="F16" i="9"/>
  <c r="H16" i="9" s="1"/>
  <c r="F8" i="9"/>
  <c r="H8" i="9" s="1"/>
  <c r="G8" i="9"/>
  <c r="G7" i="9"/>
  <c r="F7" i="9"/>
  <c r="H7" i="9" s="1"/>
  <c r="F26" i="9"/>
  <c r="H26" i="9" s="1"/>
  <c r="G26" i="9"/>
  <c r="G14" i="9"/>
  <c r="F14" i="9"/>
  <c r="H14" i="9" s="1"/>
  <c r="F10" i="9"/>
  <c r="H10" i="9" s="1"/>
  <c r="G10" i="9"/>
  <c r="G15" i="9"/>
  <c r="F15" i="9"/>
  <c r="H15" i="9" s="1"/>
  <c r="G22" i="9"/>
  <c r="F22" i="9"/>
  <c r="H22" i="9" s="1"/>
  <c r="F6" i="9"/>
  <c r="H6" i="9" s="1"/>
  <c r="G6" i="9"/>
  <c r="F21" i="9"/>
  <c r="H21" i="9" s="1"/>
  <c r="G20" i="9"/>
  <c r="F4" i="9"/>
  <c r="H4" i="9" s="1"/>
  <c r="G4" i="9"/>
  <c r="G18" i="9"/>
  <c r="F18" i="9"/>
  <c r="H18" i="9" s="1"/>
  <c r="G23" i="9"/>
  <c r="F23" i="9"/>
  <c r="H23" i="9" s="1"/>
  <c r="F13" i="9"/>
  <c r="H13" i="9" s="1"/>
  <c r="G12" i="9"/>
  <c r="F12" i="9"/>
  <c r="H12" i="9" s="1"/>
  <c r="F20" i="9"/>
  <c r="H20" i="9" s="1"/>
  <c r="F5" i="9"/>
  <c r="H5" i="9" s="1"/>
  <c r="F19" i="9"/>
  <c r="H19" i="9" s="1"/>
  <c r="F11" i="9"/>
  <c r="H11" i="9" s="1"/>
  <c r="E24" i="7"/>
  <c r="F24" i="7" s="1"/>
  <c r="E28" i="7"/>
  <c r="F28" i="7" s="1"/>
  <c r="E5" i="7"/>
  <c r="F5" i="7" s="1"/>
  <c r="E22" i="7"/>
  <c r="F22" i="7" s="1"/>
  <c r="E26" i="7"/>
  <c r="F26" i="7" s="1"/>
  <c r="E11" i="7"/>
  <c r="F11" i="7" s="1"/>
  <c r="E15" i="7"/>
  <c r="F15" i="7" s="1"/>
  <c r="E23" i="7"/>
  <c r="F23" i="7" s="1"/>
  <c r="E27" i="7"/>
  <c r="F27" i="7" s="1"/>
  <c r="E12" i="7"/>
  <c r="F12" i="7" s="1"/>
  <c r="E16" i="7"/>
  <c r="F16" i="7" s="1"/>
  <c r="E25" i="7"/>
  <c r="F25" i="7" s="1"/>
  <c r="E19" i="7"/>
  <c r="F19" i="7" s="1"/>
  <c r="E20" i="7"/>
  <c r="F20" i="7" s="1"/>
  <c r="E13" i="7"/>
  <c r="F13" i="7" s="1"/>
  <c r="E17" i="7"/>
  <c r="F17" i="7" s="1"/>
  <c r="E3" i="7"/>
  <c r="F3" i="7" s="1"/>
  <c r="E7" i="7"/>
  <c r="F7" i="7" s="1"/>
  <c r="E4" i="7"/>
  <c r="F4" i="7" s="1"/>
  <c r="E8" i="7"/>
  <c r="F8" i="7" s="1"/>
  <c r="E10" i="7"/>
  <c r="F10" i="7" s="1"/>
  <c r="E14" i="7"/>
  <c r="F14" i="7" s="1"/>
  <c r="E18" i="7"/>
  <c r="F18" i="7" s="1"/>
  <c r="E2" i="7"/>
  <c r="F2" i="7" s="1"/>
  <c r="E6" i="7"/>
  <c r="F6" i="7" s="1"/>
  <c r="E29" i="7"/>
  <c r="F29" i="7" s="1"/>
  <c r="E26" i="6"/>
  <c r="F26" i="6" s="1"/>
  <c r="E18" i="6"/>
  <c r="F18" i="6" s="1"/>
  <c r="E10" i="6"/>
  <c r="F10" i="6" s="1"/>
  <c r="E25" i="6"/>
  <c r="F25" i="6" s="1"/>
  <c r="E17" i="6"/>
  <c r="F17" i="6" s="1"/>
  <c r="E9" i="6"/>
  <c r="F9" i="6" s="1"/>
  <c r="E24" i="6"/>
  <c r="F24" i="6" s="1"/>
  <c r="E16" i="6"/>
  <c r="F16" i="6" s="1"/>
  <c r="E8" i="6"/>
  <c r="F8" i="6" s="1"/>
  <c r="E23" i="6"/>
  <c r="F23" i="6" s="1"/>
  <c r="E15" i="6"/>
  <c r="F15" i="6" s="1"/>
  <c r="E7" i="6"/>
  <c r="F7" i="6" s="1"/>
  <c r="F3" i="9" l="1"/>
  <c r="H3" i="9" s="1"/>
  <c r="H27" i="9"/>
  <c r="F30" i="7"/>
  <c r="B32" i="7" s="1"/>
  <c r="B33" i="7" s="1"/>
  <c r="B72" i="2"/>
  <c r="B73" i="2"/>
  <c r="F29" i="2"/>
  <c r="H37" i="2"/>
  <c r="H36" i="2"/>
  <c r="G53" i="2"/>
  <c r="G27" i="9"/>
  <c r="F30" i="6"/>
  <c r="I3" i="6" s="1"/>
  <c r="B29" i="9" l="1"/>
  <c r="B30" i="9" s="1"/>
  <c r="E50" i="2"/>
  <c r="E47" i="2"/>
  <c r="E51" i="2"/>
  <c r="E44" i="2"/>
  <c r="E52" i="2"/>
  <c r="E46" i="2"/>
  <c r="E45" i="2"/>
  <c r="E43" i="2"/>
  <c r="E48" i="2"/>
  <c r="E49" i="2"/>
  <c r="E8" i="1"/>
  <c r="E7" i="1"/>
  <c r="E9" i="1" s="1"/>
  <c r="E4" i="1"/>
  <c r="E3" i="1"/>
  <c r="E54" i="2" l="1"/>
  <c r="F43" i="2"/>
  <c r="E53" i="2"/>
  <c r="E55" i="2"/>
  <c r="H43" i="2"/>
  <c r="H46" i="2"/>
  <c r="F46" i="2"/>
  <c r="I46" i="2" s="1"/>
  <c r="F45" i="2"/>
  <c r="I45" i="2" s="1"/>
  <c r="H45" i="2"/>
  <c r="F52" i="2"/>
  <c r="I52" i="2" s="1"/>
  <c r="H52" i="2"/>
  <c r="H51" i="2"/>
  <c r="F51" i="2"/>
  <c r="I51" i="2" s="1"/>
  <c r="F49" i="2"/>
  <c r="I49" i="2" s="1"/>
  <c r="H49" i="2"/>
  <c r="H47" i="2"/>
  <c r="F47" i="2"/>
  <c r="I47" i="2" s="1"/>
  <c r="F44" i="2"/>
  <c r="I44" i="2" s="1"/>
  <c r="H44" i="2"/>
  <c r="F48" i="2"/>
  <c r="I48" i="2" s="1"/>
  <c r="H48" i="2"/>
  <c r="H50" i="2"/>
  <c r="F50" i="2"/>
  <c r="I50" i="2" s="1"/>
  <c r="H53" i="2" l="1"/>
  <c r="L44" i="2"/>
  <c r="I43" i="2"/>
  <c r="F54" i="2"/>
  <c r="F55" i="2"/>
  <c r="F53" i="2"/>
  <c r="I54" i="2"/>
  <c r="L42" i="2" l="1"/>
  <c r="L43" i="2" s="1"/>
  <c r="B77" i="2"/>
  <c r="D82" i="2"/>
  <c r="A60" i="2" l="1" a="1"/>
  <c r="A60" i="2" s="1"/>
  <c r="F60" i="2" s="1"/>
  <c r="I60" i="2" s="1"/>
  <c r="B78" i="2"/>
  <c r="D85" i="2"/>
  <c r="F61" i="2" l="1"/>
  <c r="I61" i="2" s="1"/>
  <c r="B66" i="2" s="1"/>
  <c r="F62" i="2"/>
  <c r="I62" i="2" s="1"/>
  <c r="B67" i="2" s="1"/>
  <c r="C62" i="2"/>
  <c r="B62" i="2"/>
  <c r="A62" i="2"/>
  <c r="C61" i="2"/>
  <c r="B61" i="2"/>
  <c r="A61" i="2"/>
  <c r="C60" i="2"/>
  <c r="B60" i="2"/>
  <c r="F31" i="2"/>
  <c r="F30" i="2"/>
  <c r="G26" i="2"/>
  <c r="G25" i="2"/>
  <c r="N22" i="2"/>
  <c r="M22" i="2"/>
  <c r="L22" i="2"/>
  <c r="N21" i="2"/>
  <c r="M21" i="2"/>
  <c r="L21" i="2"/>
  <c r="N20" i="2"/>
  <c r="M20" i="2"/>
  <c r="I22" i="2"/>
  <c r="H22" i="2"/>
  <c r="G22" i="2"/>
  <c r="I21" i="2"/>
  <c r="H21" i="2"/>
  <c r="G21" i="2"/>
  <c r="I20" i="2"/>
  <c r="H20" i="2"/>
  <c r="P18" i="2"/>
  <c r="O18" i="2"/>
  <c r="N18" i="2"/>
  <c r="M18" i="2"/>
  <c r="L18" i="2"/>
  <c r="K18" i="2"/>
  <c r="J18" i="2"/>
  <c r="I18" i="2"/>
  <c r="H18" i="2"/>
  <c r="G18" i="2"/>
  <c r="P17" i="2"/>
  <c r="O17" i="2"/>
  <c r="N17" i="2"/>
  <c r="M17" i="2"/>
  <c r="L17" i="2"/>
  <c r="K17" i="2"/>
  <c r="J17" i="2"/>
  <c r="I17" i="2"/>
  <c r="H17" i="2"/>
  <c r="G17" i="2"/>
  <c r="P16" i="2"/>
  <c r="O16" i="2"/>
  <c r="N16" i="2"/>
  <c r="M16" i="2"/>
  <c r="L16" i="2"/>
  <c r="K16" i="2"/>
  <c r="J16" i="2"/>
  <c r="I16" i="2"/>
  <c r="H16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<sst xmlns="http://schemas.openxmlformats.org/spreadsheetml/2006/main" count="1693" uniqueCount="259">
  <si>
    <t>r_yx2</t>
  </si>
  <si>
    <t>r_yx1</t>
  </si>
  <si>
    <t>r_x1x2</t>
  </si>
  <si>
    <t>ȳ</t>
  </si>
  <si>
    <t>x̄1</t>
  </si>
  <si>
    <t>x̄2</t>
  </si>
  <si>
    <t>σ_y</t>
  </si>
  <si>
    <t>σ_x2</t>
  </si>
  <si>
    <t>σ_x1</t>
  </si>
  <si>
    <t>β₁ =</t>
  </si>
  <si>
    <t>β₂ =</t>
  </si>
  <si>
    <t>b2</t>
  </si>
  <si>
    <t>b2 =</t>
  </si>
  <si>
    <t>b1​ =</t>
  </si>
  <si>
    <t>b0 =</t>
  </si>
  <si>
    <t>Уравнение регресии в натуральном масштабе:</t>
  </si>
  <si>
    <t>№</t>
  </si>
  <si>
    <t>y</t>
  </si>
  <si>
    <t>x_2</t>
  </si>
  <si>
    <t>x_1</t>
  </si>
  <si>
    <t>X</t>
  </si>
  <si>
    <t>Y</t>
  </si>
  <si>
    <t>Z</t>
  </si>
  <si>
    <t>Регрессия без фиктивной переменной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</si>
  <si>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</si>
  <si>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</si>
  <si>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</si>
  <si>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</si>
  <si>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</si>
  <si>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</si>
  <si>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</si>
  <si>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</si>
  <si>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</si>
  <si>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</si>
  <si>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</si>
  <si>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</si>
  <si>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</si>
  <si>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</si>
  <si>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</si>
  <si>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</si>
  <si>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</si>
  <si>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</si>
  <si>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</si>
  <si>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</si>
  <si>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</si>
  <si>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</si>
  <si>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</si>
  <si>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</si>
  <si>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</si>
  <si>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Регрессия с фиктивной переменной</t>
  </si>
  <si>
    <t>Переменная X 2</t>
  </si>
  <si>
    <t>Сортировка Z = 0</t>
  </si>
  <si>
    <t>Сортировка Z = 1</t>
  </si>
  <si>
    <t>Проверка (отдельные регрессии) Z = 0</t>
  </si>
  <si>
    <t>Проверка (отдельные регрессии) Z = 1</t>
  </si>
  <si>
    <t>ZX</t>
  </si>
  <si>
    <t>Полная модель</t>
  </si>
  <si>
    <t>y = b0 + b1*x</t>
  </si>
  <si>
    <t>y = b0 + b1*x + b2*z</t>
  </si>
  <si>
    <t>y = b0 + b1*x + b2*z + b3*z*x</t>
  </si>
  <si>
    <t>i</t>
  </si>
  <si>
    <t>x</t>
  </si>
  <si>
    <t>z</t>
  </si>
  <si>
    <t>zx</t>
  </si>
  <si>
    <t>Регрессия с учетом пола</t>
  </si>
  <si>
    <t>y = b0 + b1*x + b2*z + b3*zx</t>
  </si>
  <si>
    <t>b0</t>
  </si>
  <si>
    <t>b1</t>
  </si>
  <si>
    <t>b3</t>
  </si>
  <si>
    <t xml:space="preserve">Регрессия без учета пола </t>
  </si>
  <si>
    <t>y = b0 + b1x</t>
  </si>
  <si>
    <t>F =</t>
  </si>
  <si>
    <t>F_набл =</t>
  </si>
  <si>
    <t>F_кр =</t>
  </si>
  <si>
    <t xml:space="preserve">нулевая гипотеза отвергается, поэтому целесообразно </t>
  </si>
  <si>
    <t>использовать различные линии регрессии для двух наборов данных</t>
  </si>
  <si>
    <t>Регрессия мужчин</t>
  </si>
  <si>
    <t>Регрессия женщин</t>
  </si>
  <si>
    <t>Ранг x</t>
  </si>
  <si>
    <t>|e|</t>
  </si>
  <si>
    <t>Ранг |e|</t>
  </si>
  <si>
    <t>d_i^2</t>
  </si>
  <si>
    <t>d_i</t>
  </si>
  <si>
    <t>r_x,e =</t>
  </si>
  <si>
    <t>t_набл =</t>
  </si>
  <si>
    <t>t_кр =</t>
  </si>
  <si>
    <t>β</t>
  </si>
  <si>
    <t>s(β)</t>
  </si>
  <si>
    <t>t_набл(β)</t>
  </si>
  <si>
    <t>R^2</t>
  </si>
  <si>
    <t>γ</t>
  </si>
  <si>
    <t>ВВП (x)</t>
  </si>
  <si>
    <t>Страна</t>
  </si>
  <si>
    <t>Люксембург</t>
  </si>
  <si>
    <t>Уругвай</t>
  </si>
  <si>
    <t>Сингапур</t>
  </si>
  <si>
    <t>Ирландия</t>
  </si>
  <si>
    <t>Израиль</t>
  </si>
  <si>
    <t>Венгрия</t>
  </si>
  <si>
    <t>Н.Зеландия</t>
  </si>
  <si>
    <t>Португалия</t>
  </si>
  <si>
    <t>Гонконг</t>
  </si>
  <si>
    <t>Чили</t>
  </si>
  <si>
    <t>Греция</t>
  </si>
  <si>
    <t>Финляндия</t>
  </si>
  <si>
    <t>Норвегия</t>
  </si>
  <si>
    <t>Югославия</t>
  </si>
  <si>
    <t>Дания</t>
  </si>
  <si>
    <t>Турция</t>
  </si>
  <si>
    <t>Австрия</t>
  </si>
  <si>
    <t>Швейцария</t>
  </si>
  <si>
    <t>С.Аравия</t>
  </si>
  <si>
    <t>Бельгия</t>
  </si>
  <si>
    <t>Швеция</t>
  </si>
  <si>
    <t>Австралия</t>
  </si>
  <si>
    <t>Аргентина</t>
  </si>
  <si>
    <t>Нидерланды</t>
  </si>
  <si>
    <t>Мексика</t>
  </si>
  <si>
    <t>Испания</t>
  </si>
  <si>
    <t>Бразилия</t>
  </si>
  <si>
    <t>Канада</t>
  </si>
  <si>
    <t>Италия</t>
  </si>
  <si>
    <t>Англия</t>
  </si>
  <si>
    <t>Франция</t>
  </si>
  <si>
    <t>ФРГ</t>
  </si>
  <si>
    <t>Япония</t>
  </si>
  <si>
    <t>США</t>
  </si>
  <si>
    <t>Расходы (y)</t>
  </si>
  <si>
    <t>Наибольший X</t>
  </si>
  <si>
    <t>Наименьший X</t>
  </si>
  <si>
    <t>β0</t>
  </si>
  <si>
    <t>β1</t>
  </si>
  <si>
    <t>F = RSS2 / RSS1</t>
  </si>
  <si>
    <t>x1</t>
  </si>
  <si>
    <t>x2</t>
  </si>
  <si>
    <t>x3</t>
  </si>
  <si>
    <t>x4</t>
  </si>
  <si>
    <t>x5</t>
  </si>
  <si>
    <t>x6</t>
  </si>
  <si>
    <t>x7</t>
  </si>
  <si>
    <t>y~</t>
  </si>
  <si>
    <t>e_i</t>
  </si>
  <si>
    <t>e_i — e_i-1</t>
  </si>
  <si>
    <t>x*</t>
  </si>
  <si>
    <t>y*</t>
  </si>
  <si>
    <t>суммкв</t>
  </si>
  <si>
    <t>—</t>
  </si>
  <si>
    <t>e_i^2</t>
  </si>
  <si>
    <t>(e_i — e_i-2)^2</t>
  </si>
  <si>
    <t>В этом примере есть еще 2 графика, ноя не разобралась как их красиво построить</t>
  </si>
  <si>
    <t>E</t>
  </si>
  <si>
    <t>вектор оценок параметров модели</t>
  </si>
  <si>
    <t>Средние значения</t>
  </si>
  <si>
    <t>Стандартное отклонение</t>
  </si>
  <si>
    <t>σ_x₁</t>
  </si>
  <si>
    <t>σ_x₂</t>
  </si>
  <si>
    <t>y^</t>
  </si>
  <si>
    <t>e</t>
  </si>
  <si>
    <t>(y-y_ср)^2</t>
  </si>
  <si>
    <t>(y^-y_ср)^2</t>
  </si>
  <si>
    <t>|e/y|</t>
  </si>
  <si>
    <t>Сумма</t>
  </si>
  <si>
    <t>Среднее</t>
  </si>
  <si>
    <t>σ</t>
  </si>
  <si>
    <t>(S_e)^2</t>
  </si>
  <si>
    <t>S_e</t>
  </si>
  <si>
    <t>e^t_e</t>
  </si>
  <si>
    <t>Ковариационная матрица оценок параметров</t>
  </si>
  <si>
    <t>b_0</t>
  </si>
  <si>
    <t>b_1</t>
  </si>
  <si>
    <t>b_2</t>
  </si>
  <si>
    <t>S(b_0)</t>
  </si>
  <si>
    <t>S(b_1)</t>
  </si>
  <si>
    <t>S(b_2)</t>
  </si>
  <si>
    <t>t(b_1)</t>
  </si>
  <si>
    <t>t(b_2)</t>
  </si>
  <si>
    <t xml:space="preserve">t_кр(0,05; 7) </t>
  </si>
  <si>
    <t>E(x₁)</t>
  </si>
  <si>
    <t>E(x₂)</t>
  </si>
  <si>
    <t>(R_adj)^2</t>
  </si>
  <si>
    <t>1. оценки параметров уравнения линейной множественной регрессии</t>
  </si>
  <si>
    <t>2. оценки стандартизованных коэффициентов регрессии</t>
  </si>
  <si>
    <t>3. оценку дисперсии случайных отклонений</t>
  </si>
  <si>
    <t>4. стандартные ошибки оценок параметров регрессии</t>
  </si>
  <si>
    <t>6. средние коэффициенты эластичности</t>
  </si>
  <si>
    <t>7. коэффициент детерминации и скорректированный коэффициент детерминации</t>
  </si>
  <si>
    <t>8. значимость уравнения регрессии</t>
  </si>
  <si>
    <t>F_кр</t>
  </si>
  <si>
    <t>Способ 2</t>
  </si>
  <si>
    <t>Способ 1</t>
  </si>
  <si>
    <t>9. ошибка аппроксимации</t>
  </si>
  <si>
    <t>|e_i / y_i|</t>
  </si>
  <si>
    <t xml:space="preserve">10. прогнозное значение при жилой площади 45 м2 и площади кухни 15 м2 </t>
  </si>
  <si>
    <t>y_0</t>
  </si>
  <si>
    <t>(x_0)^T</t>
  </si>
  <si>
    <t>S_(y_0)</t>
  </si>
  <si>
    <t>S_(y_0)*</t>
  </si>
  <si>
    <t>нижняя для среднего</t>
  </si>
  <si>
    <t>верхняя для среднего</t>
  </si>
  <si>
    <t>нижняя для индивид</t>
  </si>
  <si>
    <t>верхняя для идивид</t>
  </si>
  <si>
    <t>Регрессия для значение (-1)</t>
  </si>
  <si>
    <t>Регрессия для значение (-0,5)</t>
  </si>
  <si>
    <t>Регрессия для значение (-0,25)</t>
  </si>
  <si>
    <t>Регрессия для значение (0,25)</t>
  </si>
  <si>
    <t>Регрессия для значение (0,5)</t>
  </si>
  <si>
    <t>Регрессия для значение (1)</t>
  </si>
  <si>
    <t>Регрессия для значение (1,5)</t>
  </si>
  <si>
    <t>R²</t>
  </si>
  <si>
    <t>Вообще дичь получилась</t>
  </si>
  <si>
    <t>DW =</t>
  </si>
  <si>
    <t>DW &gt; 2, значит есть отрицательная автокорреляция</t>
  </si>
  <si>
    <t>ρ =</t>
  </si>
  <si>
    <t>Регрессия от x* и y*</t>
  </si>
  <si>
    <t>b</t>
  </si>
  <si>
    <t>a =</t>
  </si>
  <si>
    <t>a</t>
  </si>
  <si>
    <t>a*</t>
  </si>
  <si>
    <t>Германия</t>
  </si>
  <si>
    <t>Голландия</t>
  </si>
  <si>
    <t>Китай</t>
  </si>
  <si>
    <t>Россия</t>
  </si>
  <si>
    <t>Переменная X 3</t>
  </si>
  <si>
    <t>Переменная X 4</t>
  </si>
  <si>
    <t>Переменная X 5</t>
  </si>
  <si>
    <t>Переменная X 6</t>
  </si>
  <si>
    <t>Переменная X 7</t>
  </si>
  <si>
    <t>Удаляем x2</t>
  </si>
  <si>
    <t>Удаляем x7</t>
  </si>
  <si>
    <t>Удаляем x1</t>
  </si>
  <si>
    <t>Удаляем x6</t>
  </si>
  <si>
    <t>Удаляем x4</t>
  </si>
  <si>
    <t>ŷ = -6,19 – 0,026x₃ + 15,37x₅</t>
  </si>
  <si>
    <t>Корреляционная матрица</t>
  </si>
  <si>
    <t>t</t>
  </si>
  <si>
    <t>e_2</t>
  </si>
  <si>
    <t>e_3</t>
  </si>
  <si>
    <t>e_4</t>
  </si>
  <si>
    <t>e_5</t>
  </si>
  <si>
    <t>e_6</t>
  </si>
  <si>
    <t>e_7</t>
  </si>
  <si>
    <t>X_2</t>
  </si>
  <si>
    <t>X_3</t>
  </si>
  <si>
    <t>X_4</t>
  </si>
  <si>
    <t>X_5</t>
  </si>
  <si>
    <t>X_6</t>
  </si>
  <si>
    <t>X_7</t>
  </si>
  <si>
    <t>Коэффициенты не совпадают в регрессии, соответственно значения не совпадают в таблице выше</t>
  </si>
  <si>
    <t>Коэффициенты корреляции</t>
  </si>
  <si>
    <t>e_1</t>
  </si>
  <si>
    <t>X_1</t>
  </si>
  <si>
    <t>тут тоже с книгой не сильно совпадает по значениям, но логика правильная</t>
  </si>
  <si>
    <t>Коэффициенты стандартизированной регрессии:</t>
  </si>
  <si>
    <t>E9+E7*B5+E8*B6</t>
  </si>
  <si>
    <t xml:space="preserve"> </t>
  </si>
  <si>
    <t>X^T*X =</t>
  </si>
  <si>
    <t>X^T*Y =</t>
  </si>
  <si>
    <t>(X^T*X)^(-1) =</t>
  </si>
  <si>
    <t>5. статистическая значимость параметров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</si>
</sst>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E+00"/>
    <numFmt numFmtId="168" formatCode="0.0000000"/>
    <numFmt numFmtId="169" formatCode="0.000000"/>
    <numFmt numFmtId="170" formatCode="0.00000"/>
  </numFmts>
  <fonts count="2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0" fontId="0" fillId="2" borderId="1" xfId="0" applyFill="1" applyBorder="1"/>
    <xf numFmtId="165" fontId="0" fillId="0" borderId="0" xfId="0" applyNumberFormat="1"/>
    <xf numFmtId="2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Continuous"/>
    </xf>
    <xf numFmtId="2" fontId="0" fillId="0" borderId="4" xfId="0" applyNumberFormat="1" applyBorder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6" fillId="0" borderId="6" xfId="0" applyFont="1" applyBorder="1" applyAlignment="1">
      <alignment horizontal="centerContinuous"/>
    </xf>
    <xf numFmtId="0" fontId="1" fillId="0" borderId="4" xfId="0" applyFont="1" applyBorder="1"/>
    <xf numFmtId="0" fontId="6" fillId="0" borderId="6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vertical="center"/>
    </xf>
    <xf numFmtId="0" fontId="0" fillId="3" borderId="0" xfId="0" applyFill="1"/>
    <xf numFmtId="0" fontId="1" fillId="0" borderId="1" xfId="0" applyFont="1" applyBorder="1"/>
    <xf numFmtId="2" fontId="1" fillId="0" borderId="0" xfId="0" applyNumberFormat="1" applyFont="1"/>
    <xf numFmtId="2" fontId="1" fillId="0" borderId="4" xfId="0" applyNumberFormat="1" applyFont="1" applyBorder="1"/>
    <xf numFmtId="1" fontId="1" fillId="0" borderId="4" xfId="0" applyNumberFormat="1" applyFont="1" applyBorder="1"/>
    <xf numFmtId="167" fontId="1" fillId="0" borderId="0" xfId="0" applyNumberFormat="1" applyFont="1"/>
    <xf numFmtId="167" fontId="1" fillId="0" borderId="4" xfId="0" applyNumberFormat="1" applyFont="1" applyBorder="1"/>
    <xf numFmtId="0" fontId="1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Continuous" vertical="center"/>
    </xf>
    <xf numFmtId="165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4" xfId="0" applyNumberFormat="1" applyFont="1" applyBorder="1" applyAlignment="1">
      <alignment vertical="center"/>
    </xf>
    <xf numFmtId="0" fontId="9" fillId="0" borderId="1" xfId="0" applyFont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" fontId="0" fillId="4" borderId="0" xfId="0" applyNumberFormat="1" applyFill="1"/>
    <xf numFmtId="2" fontId="0" fillId="4" borderId="4" xfId="0" applyNumberFormat="1" applyFill="1" applyBorder="1"/>
    <xf numFmtId="164" fontId="0" fillId="4" borderId="0" xfId="0" applyNumberFormat="1" applyFill="1"/>
    <xf numFmtId="0" fontId="0" fillId="0" borderId="0" xfId="0" applyAlignment="1">
      <alignment horizontal="right"/>
    </xf>
    <xf numFmtId="0" fontId="4" fillId="0" borderId="0" xfId="0" applyFont="1"/>
    <xf numFmtId="0" fontId="10" fillId="0" borderId="0" xfId="0" applyFont="1" applyAlignment="1">
      <alignment horizontal="center" vertical="top"/>
    </xf>
    <xf numFmtId="0" fontId="11" fillId="0" borderId="0" xfId="0" applyFont="1"/>
    <xf numFmtId="0" fontId="1" fillId="0" borderId="1" xfId="0" applyFont="1" applyBorder="1" applyAlignment="1">
      <alignment horizontal="center" vertical="top"/>
    </xf>
    <xf numFmtId="170" fontId="1" fillId="0" borderId="7" xfId="0" applyNumberFormat="1" applyFont="1" applyBorder="1" applyAlignment="1">
      <alignment horizontal="center" vertical="top"/>
    </xf>
    <xf numFmtId="170" fontId="1" fillId="0" borderId="0" xfId="0" applyNumberFormat="1" applyFont="1" applyAlignment="1">
      <alignment horizontal="center" vertical="top"/>
    </xf>
    <xf numFmtId="170" fontId="1" fillId="0" borderId="9" xfId="0" applyNumberFormat="1" applyFont="1" applyBorder="1" applyAlignment="1">
      <alignment horizontal="center" vertical="top"/>
    </xf>
    <xf numFmtId="2" fontId="1" fillId="0" borderId="7" xfId="0" applyNumberFormat="1" applyFont="1" applyBorder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2" fontId="1" fillId="0" borderId="9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top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12" fillId="0" borderId="8" xfId="0" applyNumberFormat="1" applyFont="1" applyBorder="1" applyAlignment="1">
      <alignment horizontal="center" vertical="top"/>
    </xf>
    <xf numFmtId="2" fontId="12" fillId="0" borderId="8" xfId="0" applyNumberFormat="1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165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6" fontId="1" fillId="0" borderId="10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top"/>
    </xf>
    <xf numFmtId="169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5" fillId="0" borderId="6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Continuous"/>
    </xf>
    <xf numFmtId="2" fontId="0" fillId="5" borderId="0" xfId="0" applyNumberFormat="1" applyFill="1"/>
    <xf numFmtId="2" fontId="0" fillId="5" borderId="4" xfId="0" applyNumberFormat="1" applyFill="1" applyBorder="1"/>
    <xf numFmtId="168" fontId="0" fillId="5" borderId="4" xfId="0" applyNumberFormat="1" applyFill="1" applyBorder="1"/>
    <xf numFmtId="168" fontId="0" fillId="0" borderId="1" xfId="0" applyNumberFormat="1" applyBorder="1" applyAlignment="1">
      <alignment horizontal="right" vertical="center"/>
    </xf>
    <xf numFmtId="165" fontId="0" fillId="4" borderId="0" xfId="0" applyNumberFormat="1" applyFill="1"/>
    <xf numFmtId="165" fontId="1" fillId="0" borderId="1" xfId="0" applyNumberFormat="1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5" fontId="6" fillId="0" borderId="6" xfId="0" applyNumberFormat="1" applyFont="1" applyBorder="1" applyAlignment="1">
      <alignment horizontal="centerContinuous"/>
    </xf>
    <xf numFmtId="170" fontId="1" fillId="0" borderId="0" xfId="0" applyNumberFormat="1" applyFont="1"/>
    <xf numFmtId="165" fontId="1" fillId="2" borderId="1" xfId="0" applyNumberFormat="1" applyFont="1" applyFill="1" applyBorder="1"/>
    <xf numFmtId="2" fontId="1" fillId="2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4" xfId="0" applyNumberFormat="1" applyFont="1" applyBorder="1"/>
    <xf numFmtId="165" fontId="6" fillId="0" borderId="6" xfId="0" applyNumberFormat="1" applyFont="1" applyBorder="1" applyAlignment="1">
      <alignment horizontal="center"/>
    </xf>
    <xf numFmtId="165" fontId="1" fillId="4" borderId="0" xfId="0" applyNumberFormat="1" applyFont="1" applyFill="1"/>
    <xf numFmtId="2" fontId="1" fillId="4" borderId="4" xfId="0" applyNumberFormat="1" applyFont="1" applyFill="1" applyBorder="1"/>
    <xf numFmtId="0" fontId="0" fillId="0" borderId="7" xfId="0" applyBorder="1"/>
    <xf numFmtId="170" fontId="6" fillId="0" borderId="6" xfId="0" applyNumberFormat="1" applyFont="1" applyBorder="1" applyAlignment="1">
      <alignment horizontal="centerContinuous"/>
    </xf>
    <xf numFmtId="170" fontId="1" fillId="0" borderId="4" xfId="0" applyNumberFormat="1" applyFont="1" applyBorder="1"/>
    <xf numFmtId="170" fontId="6" fillId="0" borderId="6" xfId="0" applyNumberFormat="1" applyFont="1" applyBorder="1" applyAlignment="1">
      <alignment horizontal="center"/>
    </xf>
    <xf numFmtId="170" fontId="1" fillId="4" borderId="0" xfId="0" applyNumberFormat="1" applyFont="1" applyFill="1"/>
    <xf numFmtId="0" fontId="7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0" borderId="7" xfId="0" applyFont="1" applyBorder="1"/>
    <xf numFmtId="170" fontId="1" fillId="4" borderId="4" xfId="0" applyNumberFormat="1" applyFont="1" applyFill="1" applyBorder="1"/>
    <xf numFmtId="2" fontId="1" fillId="4" borderId="0" xfId="0" applyNumberFormat="1" applyFont="1" applyFill="1"/>
    <xf numFmtId="2" fontId="6" fillId="0" borderId="6" xfId="0" applyNumberFormat="1" applyFont="1" applyBorder="1" applyAlignment="1">
      <alignment horizontal="centerContinuous"/>
    </xf>
    <xf numFmtId="2" fontId="6" fillId="0" borderId="6" xfId="0" applyNumberFormat="1" applyFont="1" applyBorder="1" applyAlignment="1">
      <alignment horizontal="center"/>
    </xf>
    <xf numFmtId="2" fontId="1" fillId="2" borderId="4" xfId="0" applyNumberFormat="1" applyFont="1" applyFill="1" applyBorder="1"/>
    <xf numFmtId="2" fontId="1" fillId="2" borderId="0" xfId="0" applyNumberFormat="1" applyFont="1" applyFill="1"/>
    <xf numFmtId="164" fontId="1" fillId="0" borderId="1" xfId="0" applyNumberFormat="1" applyFont="1" applyBorder="1" applyAlignment="1">
      <alignment horizontal="center" vertical="center"/>
    </xf>
    <xf numFmtId="2" fontId="0" fillId="4" borderId="1" xfId="0" applyNumberFormat="1" applyFill="1" applyBorder="1"/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2" fontId="0" fillId="6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7" fillId="0" borderId="11" xfId="0" applyFont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1" xfId="0" applyFont="1" applyBorder="1"/>
    <xf numFmtId="0" fontId="14" fillId="0" borderId="0" xfId="0" applyFont="1"/>
    <xf numFmtId="2" fontId="14" fillId="0" borderId="0" xfId="0" applyNumberFormat="1" applyFont="1"/>
    <xf numFmtId="0" fontId="14" fillId="7" borderId="1" xfId="0" applyFont="1" applyFill="1" applyBorder="1"/>
    <xf numFmtId="0" fontId="14" fillId="7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/>
    </xf>
    <xf numFmtId="0" fontId="1" fillId="7" borderId="0" xfId="0" applyFont="1" applyFill="1"/>
    <xf numFmtId="0" fontId="1" fillId="7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7" borderId="10" xfId="0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Fill="1" applyBorder="1" applyAlignment="1">
      <alignment horizontal="center" vertical="top"/>
    </xf>
    <xf numFmtId="0" fontId="1" fillId="7" borderId="0" xfId="0" applyFont="1" applyFill="1" applyAlignment="1">
      <alignment horizontal="right" vertical="top"/>
    </xf>
    <xf numFmtId="0" fontId="18" fillId="0" borderId="0" xfId="0" applyFont="1" applyFill="1" applyAlignment="1">
      <alignment horizontal="center"/>
    </xf>
    <xf numFmtId="0" fontId="7" fillId="7" borderId="0" xfId="0" applyFont="1" applyFill="1" applyAlignment="1">
      <alignment vertical="top"/>
    </xf>
    <xf numFmtId="165" fontId="1" fillId="0" borderId="1" xfId="0" applyNumberFormat="1" applyFont="1" applyFill="1" applyBorder="1" applyAlignment="1">
      <alignment horizontal="center" vertical="top"/>
    </xf>
    <xf numFmtId="0" fontId="19" fillId="7" borderId="1" xfId="0" applyFont="1" applyFill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8" fillId="0" borderId="0" xfId="0" applyFont="1" applyFill="1" applyAlignment="1">
      <alignment horizontal="left"/>
    </xf>
    <xf numFmtId="0" fontId="19" fillId="7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94653392342352E-2"/>
          <c:y val="0.19479429051217464"/>
          <c:w val="0.87936275714081258"/>
          <c:h val="0.65607621465452837"/>
        </c:manualLayout>
      </c:layout>
      <c:scatterChart>
        <c:scatterStyle val="lineMarker"/>
        <c:varyColors val="0"/>
        <c:ser>
          <c:idx val="0"/>
          <c:order val="0"/>
          <c:tx>
            <c:v>Мужчины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'4.4(105-108)'!$H$7:$H$15</c:f>
              <c:numCache>
                <c:formatCode>General</c:formatCode>
                <c:ptCount val="9"/>
                <c:pt idx="0">
                  <c:v>13</c:v>
                </c:pt>
                <c:pt idx="1">
                  <c:v>15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22</c:v>
                </c:pt>
                <c:pt idx="6">
                  <c:v>25</c:v>
                </c:pt>
                <c:pt idx="7">
                  <c:v>18</c:v>
                </c:pt>
                <c:pt idx="8">
                  <c:v>20</c:v>
                </c:pt>
              </c:numCache>
            </c:numRef>
          </c:xVal>
          <c:yVal>
            <c:numRef>
              <c:f>'4.4(105-108)'!$I$7:$I$15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12</c:v>
                </c:pt>
                <c:pt idx="6">
                  <c:v>15</c:v>
                </c:pt>
                <c:pt idx="7">
                  <c:v>8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B-4B9B-AEEF-86BDEAE97A31}"/>
            </c:ext>
          </c:extLst>
        </c:ser>
        <c:ser>
          <c:idx val="1"/>
          <c:order val="1"/>
          <c:tx>
            <c:v>Женщины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'4.4(105-108)'!$P$7:$P$15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  <c:pt idx="4">
                  <c:v>3</c:v>
                </c:pt>
                <c:pt idx="5">
                  <c:v>15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</c:numCache>
            </c:numRef>
          </c:xVal>
          <c:yVal>
            <c:numRef>
              <c:f>'4.4(105-108)'!$O$7:$O$15</c:f>
              <c:numCache>
                <c:formatCode>General</c:formatCode>
                <c:ptCount val="9"/>
                <c:pt idx="0">
                  <c:v>8.5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16</c:v>
                </c:pt>
                <c:pt idx="6">
                  <c:v>12</c:v>
                </c:pt>
                <c:pt idx="7">
                  <c:v>15</c:v>
                </c:pt>
                <c:pt idx="8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B-4B9B-AEEF-86BDEAE97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159871"/>
        <c:axId val="855159039"/>
      </c:scatterChart>
      <c:valAx>
        <c:axId val="855159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заработная плата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159039"/>
        <c:crosses val="autoZero"/>
        <c:crossBetween val="midCat"/>
      </c:valAx>
      <c:valAx>
        <c:axId val="8551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Стаж</a:t>
                </a:r>
                <a:r>
                  <a:rPr lang="ru-RU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15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3652528107117161E-2"/>
          <c:y val="2.0570023205537587E-2"/>
          <c:w val="0.89398270945372094"/>
          <c:h val="0.14609730458755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'4.6(128-130)'!$A$2:$A$29</c:f>
              <c:numCache>
                <c:formatCode>General</c:formatCode>
                <c:ptCount val="28"/>
                <c:pt idx="0">
                  <c:v>13746</c:v>
                </c:pt>
                <c:pt idx="1">
                  <c:v>14386</c:v>
                </c:pt>
                <c:pt idx="2">
                  <c:v>24646</c:v>
                </c:pt>
                <c:pt idx="3">
                  <c:v>41506</c:v>
                </c:pt>
                <c:pt idx="4">
                  <c:v>44753</c:v>
                </c:pt>
                <c:pt idx="5">
                  <c:v>50919</c:v>
                </c:pt>
                <c:pt idx="6">
                  <c:v>52662</c:v>
                </c:pt>
                <c:pt idx="7">
                  <c:v>71039</c:v>
                </c:pt>
                <c:pt idx="8">
                  <c:v>72608</c:v>
                </c:pt>
                <c:pt idx="9">
                  <c:v>74121</c:v>
                </c:pt>
                <c:pt idx="10">
                  <c:v>87352</c:v>
                </c:pt>
                <c:pt idx="11">
                  <c:v>97624</c:v>
                </c:pt>
                <c:pt idx="12">
                  <c:v>98861</c:v>
                </c:pt>
                <c:pt idx="13">
                  <c:v>122926</c:v>
                </c:pt>
                <c:pt idx="14">
                  <c:v>130823</c:v>
                </c:pt>
                <c:pt idx="15">
                  <c:v>135961</c:v>
                </c:pt>
                <c:pt idx="16">
                  <c:v>151266</c:v>
                </c:pt>
                <c:pt idx="17">
                  <c:v>198432</c:v>
                </c:pt>
                <c:pt idx="18">
                  <c:v>232006</c:v>
                </c:pt>
                <c:pt idx="19">
                  <c:v>261386</c:v>
                </c:pt>
                <c:pt idx="20">
                  <c:v>334286</c:v>
                </c:pt>
                <c:pt idx="21">
                  <c:v>380820</c:v>
                </c:pt>
                <c:pt idx="22">
                  <c:v>420788</c:v>
                </c:pt>
                <c:pt idx="23">
                  <c:v>483652</c:v>
                </c:pt>
                <c:pt idx="24">
                  <c:v>547203</c:v>
                </c:pt>
                <c:pt idx="25">
                  <c:v>1016286</c:v>
                </c:pt>
                <c:pt idx="26">
                  <c:v>1024609</c:v>
                </c:pt>
                <c:pt idx="27">
                  <c:v>1330998</c:v>
                </c:pt>
              </c:numCache>
            </c:numRef>
          </c:xVal>
          <c:yVal>
            <c:numRef>
              <c:f>'4.6(128-130)'!$C$2:$C$29</c:f>
              <c:numCache>
                <c:formatCode>General</c:formatCode>
                <c:ptCount val="28"/>
                <c:pt idx="0">
                  <c:v>547</c:v>
                </c:pt>
                <c:pt idx="1">
                  <c:v>1130</c:v>
                </c:pt>
                <c:pt idx="2">
                  <c:v>2620</c:v>
                </c:pt>
                <c:pt idx="3">
                  <c:v>1417</c:v>
                </c:pt>
                <c:pt idx="4">
                  <c:v>5955</c:v>
                </c:pt>
                <c:pt idx="5">
                  <c:v>2629</c:v>
                </c:pt>
                <c:pt idx="6">
                  <c:v>6768</c:v>
                </c:pt>
                <c:pt idx="7">
                  <c:v>6264</c:v>
                </c:pt>
                <c:pt idx="8">
                  <c:v>4227</c:v>
                </c:pt>
                <c:pt idx="9">
                  <c:v>3611</c:v>
                </c:pt>
                <c:pt idx="10">
                  <c:v>499</c:v>
                </c:pt>
                <c:pt idx="11">
                  <c:v>2067</c:v>
                </c:pt>
                <c:pt idx="12">
                  <c:v>10360</c:v>
                </c:pt>
                <c:pt idx="13">
                  <c:v>10929</c:v>
                </c:pt>
                <c:pt idx="14">
                  <c:v>14185</c:v>
                </c:pt>
                <c:pt idx="15">
                  <c:v>4176</c:v>
                </c:pt>
                <c:pt idx="16">
                  <c:v>3976</c:v>
                </c:pt>
                <c:pt idx="17">
                  <c:v>4233</c:v>
                </c:pt>
                <c:pt idx="18">
                  <c:v>1025</c:v>
                </c:pt>
                <c:pt idx="19">
                  <c:v>6270</c:v>
                </c:pt>
                <c:pt idx="20">
                  <c:v>16758</c:v>
                </c:pt>
                <c:pt idx="21">
                  <c:v>86952</c:v>
                </c:pt>
                <c:pt idx="22">
                  <c:v>27034</c:v>
                </c:pt>
                <c:pt idx="23">
                  <c:v>14180</c:v>
                </c:pt>
                <c:pt idx="24">
                  <c:v>6024</c:v>
                </c:pt>
                <c:pt idx="25">
                  <c:v>62439</c:v>
                </c:pt>
                <c:pt idx="26">
                  <c:v>45333</c:v>
                </c:pt>
                <c:pt idx="27">
                  <c:v>2093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6-4DEF-B37A-5326E917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667327"/>
        <c:axId val="2083664415"/>
      </c:scatterChart>
      <c:valAx>
        <c:axId val="208366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3664415"/>
        <c:crosses val="autoZero"/>
        <c:crossBetween val="midCat"/>
      </c:valAx>
      <c:valAx>
        <c:axId val="20836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366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'Пример 4.9 (145-148)'!$E$2:$E$26</c:f>
              <c:numCache>
                <c:formatCode>0.000</c:formatCode>
                <c:ptCount val="25"/>
                <c:pt idx="0">
                  <c:v>-0.41300000000000026</c:v>
                </c:pt>
                <c:pt idx="1">
                  <c:v>-2.3000000000000576E-2</c:v>
                </c:pt>
                <c:pt idx="2">
                  <c:v>-3.4000000000000696E-2</c:v>
                </c:pt>
                <c:pt idx="3">
                  <c:v>0.36099999999999932</c:v>
                </c:pt>
                <c:pt idx="4">
                  <c:v>0.14499999999999957</c:v>
                </c:pt>
                <c:pt idx="5">
                  <c:v>0.51899999999999968</c:v>
                </c:pt>
                <c:pt idx="6">
                  <c:v>-2.3000000000000576E-2</c:v>
                </c:pt>
                <c:pt idx="7">
                  <c:v>0.68699999999999983</c:v>
                </c:pt>
                <c:pt idx="8">
                  <c:v>-0.85500000000000043</c:v>
                </c:pt>
                <c:pt idx="9">
                  <c:v>-1.3000000000000345E-2</c:v>
                </c:pt>
                <c:pt idx="10">
                  <c:v>-0.33900000000000041</c:v>
                </c:pt>
                <c:pt idx="11">
                  <c:v>0.44499999999999984</c:v>
                </c:pt>
                <c:pt idx="12">
                  <c:v>-0.33900000000000041</c:v>
                </c:pt>
                <c:pt idx="13">
                  <c:v>0.28199999999999914</c:v>
                </c:pt>
                <c:pt idx="14">
                  <c:v>-0.81300000000000017</c:v>
                </c:pt>
                <c:pt idx="15">
                  <c:v>0.13999999999999968</c:v>
                </c:pt>
                <c:pt idx="16">
                  <c:v>-1.8000000000000682E-2</c:v>
                </c:pt>
                <c:pt idx="17">
                  <c:v>0.48699999999999966</c:v>
                </c:pt>
                <c:pt idx="18">
                  <c:v>-0.22300000000000075</c:v>
                </c:pt>
                <c:pt idx="19">
                  <c:v>8.1999999999999407E-2</c:v>
                </c:pt>
                <c:pt idx="20">
                  <c:v>0.11899999999999977</c:v>
                </c:pt>
                <c:pt idx="21">
                  <c:v>-0.10199999999999987</c:v>
                </c:pt>
                <c:pt idx="22">
                  <c:v>-6.0000000000000497E-2</c:v>
                </c:pt>
                <c:pt idx="23">
                  <c:v>0.18699999999999983</c:v>
                </c:pt>
                <c:pt idx="24">
                  <c:v>8.6999999999999744E-2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81-446D-8BA5-34C69D0E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14031"/>
        <c:axId val="152093951"/>
      </c:scatterChart>
      <c:valAx>
        <c:axId val="145014031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093951"/>
        <c:crosses val="autoZero"/>
        <c:crossBetween val="midCat"/>
      </c:valAx>
      <c:valAx>
        <c:axId val="1520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01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228600</xdr:rowOff>
    </xdr:from>
    <xdr:to>
      <xdr:col>23</xdr:col>
      <xdr:colOff>247649</xdr:colOff>
      <xdr:row>35</xdr:row>
      <xdr:rowOff>190500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95D1284-1521-53D7-A6EA-F0B02A727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5</xdr:row>
      <xdr:rowOff>176212</xdr:rowOff>
    </xdr:from>
    <xdr:to>
      <xdr:col>14</xdr:col>
      <xdr:colOff>457200</xdr:colOff>
      <xdr:row>20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2E4752A-A5B2-F0C6-1D77-817445B53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608342</xdr:colOff>
      <xdr:row>0</xdr:row>
      <xdr:rowOff>183581</xdr:rowOff>
    </xdr:from>
    <xdr:to>
      <xdr:col>15</xdr:col>
      <xdr:colOff>26958</xdr:colOff>
      <xdr:row>15</xdr:row>
      <xdr:rowOff>69281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9A7B2B-E3E5-9E7F-C1C7-1912EC2A2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D4CB-DA24-4B39-9F1C-2D74FDA7C5A6}">
  <dimension ref="A1:J12"/>
  <sheetViews>
    <sheetView tabSelected="1" zoomScale="123" zoomScaleNormal="145" workbookViewId="0">
      <selection activeCell="E3" sqref="E3"/>
    </sheetView>
  </sheetViews>
  <sheetFormatPr defaultRowHeight="15" x14ac:dyDescent="0.25"/>
  <cols>
    <col min="1" max="1" width="6.7109375" bestFit="1" customWidth="1"/>
    <col min="2" max="2" width="5.28515625" bestFit="1" customWidth="1"/>
    <col min="4" max="5" width="4.7109375" bestFit="1" customWidth="1"/>
  </cols>
  <sheetData>
    <row r="1" spans="1:10" x14ac:dyDescent="0.25">
      <c r="A1" s="135" t="s">
        <v>1</v>
      </c>
      <c r="B1" s="132">
        <v>0.68</v>
      </c>
      <c r="C1" s="133"/>
      <c r="D1" s="133"/>
      <c r="E1" s="133"/>
      <c r="F1" s="133"/>
      <c r="G1" s="133"/>
      <c r="H1" s="133"/>
      <c r="I1" s="133"/>
      <c r="J1" s="133"/>
    </row>
    <row r="2" spans="1:10" x14ac:dyDescent="0.25">
      <c r="A2" s="135" t="s">
        <v>0</v>
      </c>
      <c r="B2" s="132">
        <v>0.93</v>
      </c>
      <c r="C2" s="133"/>
      <c r="D2" s="137" t="s">
        <v>252</v>
      </c>
      <c r="E2" s="137"/>
      <c r="F2" s="138"/>
      <c r="G2" s="138"/>
      <c r="H2" s="138"/>
      <c r="I2" s="138"/>
      <c r="J2" s="133"/>
    </row>
    <row r="3" spans="1:10" x14ac:dyDescent="0.25">
      <c r="A3" s="135" t="s">
        <v>2</v>
      </c>
      <c r="B3" s="132">
        <v>0.54</v>
      </c>
      <c r="C3" s="133"/>
      <c r="D3" s="136" t="s">
        <v>9</v>
      </c>
      <c r="E3" s="134">
        <f>(B1-B2*B3)/(1-B3*B3)</f>
        <v>0.25098814229249011</v>
      </c>
      <c r="F3" s="133"/>
      <c r="G3" s="133"/>
      <c r="H3" s="133"/>
      <c r="I3" s="133"/>
      <c r="J3" s="133"/>
    </row>
    <row r="4" spans="1:10" x14ac:dyDescent="0.25">
      <c r="A4" s="135" t="s">
        <v>3</v>
      </c>
      <c r="B4" s="132">
        <v>18</v>
      </c>
      <c r="C4" s="133"/>
      <c r="D4" s="136" t="s">
        <v>10</v>
      </c>
      <c r="E4" s="134">
        <f>(B2-B1*B3)/(1-B3*B3)</f>
        <v>0.79446640316205541</v>
      </c>
      <c r="F4" s="133"/>
      <c r="G4" s="133"/>
      <c r="H4" s="133"/>
      <c r="I4" s="133"/>
      <c r="J4" s="133"/>
    </row>
    <row r="5" spans="1:10" x14ac:dyDescent="0.25">
      <c r="A5" s="135" t="s">
        <v>4</v>
      </c>
      <c r="B5" s="132">
        <v>7</v>
      </c>
      <c r="C5" s="133"/>
      <c r="F5" s="133"/>
      <c r="G5" s="133"/>
      <c r="H5" s="133"/>
      <c r="I5" s="133"/>
      <c r="J5" s="133"/>
    </row>
    <row r="6" spans="1:10" x14ac:dyDescent="0.25">
      <c r="A6" s="135" t="s">
        <v>5</v>
      </c>
      <c r="B6" s="132">
        <v>12</v>
      </c>
      <c r="C6" s="133"/>
      <c r="D6" s="137" t="s">
        <v>15</v>
      </c>
      <c r="E6" s="137"/>
      <c r="F6" s="139"/>
      <c r="G6" s="139"/>
      <c r="H6" s="137"/>
      <c r="I6" s="137"/>
      <c r="J6" s="133"/>
    </row>
    <row r="7" spans="1:10" x14ac:dyDescent="0.25">
      <c r="A7" s="135" t="s">
        <v>6</v>
      </c>
      <c r="B7" s="132">
        <v>4</v>
      </c>
      <c r="C7" s="133"/>
      <c r="D7" s="136" t="s">
        <v>13</v>
      </c>
      <c r="E7" s="134">
        <f>E3*(B7/B8)</f>
        <v>0.50197628458498023</v>
      </c>
    </row>
    <row r="8" spans="1:10" x14ac:dyDescent="0.25">
      <c r="A8" s="135" t="s">
        <v>8</v>
      </c>
      <c r="B8" s="132">
        <v>2</v>
      </c>
      <c r="C8" s="133"/>
      <c r="D8" s="136" t="s">
        <v>12</v>
      </c>
      <c r="E8" s="134">
        <f>E4*(B7/B9)</f>
        <v>1.0592885375494072</v>
      </c>
    </row>
    <row r="9" spans="1:10" x14ac:dyDescent="0.25">
      <c r="A9" s="135" t="s">
        <v>7</v>
      </c>
      <c r="B9" s="132">
        <v>3</v>
      </c>
      <c r="C9" s="133"/>
      <c r="D9" s="136" t="s">
        <v>14</v>
      </c>
      <c r="E9" s="134">
        <f>B4-E7*B5-E8*B6</f>
        <v>1.774703557312252</v>
      </c>
      <c r="F9" s="133"/>
      <c r="G9" s="133"/>
      <c r="H9" s="133"/>
      <c r="I9" s="133"/>
      <c r="J9" s="133"/>
    </row>
    <row r="11" spans="1:10" x14ac:dyDescent="0.25">
      <c r="C11" s="141"/>
      <c r="D11" s="141" t="s">
        <v>253</v>
      </c>
      <c r="E11" s="141"/>
      <c r="F11" s="140"/>
      <c r="G11" s="140" t="s">
        <v>254</v>
      </c>
      <c r="H11" s="140"/>
      <c r="I11" s="140"/>
    </row>
    <row r="12" spans="1:10" x14ac:dyDescent="0.25">
      <c r="D12">
        <f>E9+E7*B5+E8*B6</f>
        <v>18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9777-A37E-45C9-9FC0-8F2F9CF1F667}">
  <dimension ref="A1:T109"/>
  <sheetViews>
    <sheetView zoomScale="70" zoomScaleNormal="85" workbookViewId="0">
      <selection activeCell="B2" sqref="B2"/>
    </sheetView>
  </sheetViews>
  <sheetFormatPr defaultColWidth="17.28515625" defaultRowHeight="18.75" x14ac:dyDescent="0.25"/>
  <cols>
    <col min="1" max="1" width="17.28515625" style="2" customWidth="1"/>
    <col min="2" max="2" width="18.85546875" style="2" bestFit="1" customWidth="1"/>
    <col min="3" max="3" width="17.28515625" style="2"/>
    <col min="4" max="5" width="18.85546875" style="2" bestFit="1" customWidth="1"/>
    <col min="6" max="6" width="27.28515625" style="2" customWidth="1"/>
    <col min="7" max="10" width="17.28515625" style="2"/>
    <col min="11" max="11" width="20.140625" style="2" customWidth="1"/>
    <col min="12" max="16384" width="17.28515625" style="2"/>
  </cols>
  <sheetData>
    <row r="1" spans="1:20" x14ac:dyDescent="0.25">
      <c r="A1" s="142" t="s">
        <v>16</v>
      </c>
      <c r="B1" s="142" t="s">
        <v>17</v>
      </c>
      <c r="C1" s="142" t="s">
        <v>19</v>
      </c>
      <c r="D1" s="142" t="s">
        <v>18</v>
      </c>
    </row>
    <row r="2" spans="1:20" x14ac:dyDescent="0.25">
      <c r="A2" s="142">
        <v>1</v>
      </c>
      <c r="B2" s="6">
        <v>1284.5999999999999</v>
      </c>
      <c r="C2" s="6">
        <v>21.5</v>
      </c>
      <c r="D2" s="6">
        <v>12.5</v>
      </c>
    </row>
    <row r="3" spans="1:20" x14ac:dyDescent="0.25">
      <c r="A3" s="142">
        <v>2</v>
      </c>
      <c r="B3" s="6">
        <v>870.2</v>
      </c>
      <c r="C3" s="6">
        <v>20</v>
      </c>
      <c r="D3" s="6">
        <v>10</v>
      </c>
    </row>
    <row r="4" spans="1:20" x14ac:dyDescent="0.25">
      <c r="A4" s="142">
        <v>3</v>
      </c>
      <c r="B4" s="6">
        <v>902</v>
      </c>
      <c r="C4" s="6">
        <v>19</v>
      </c>
      <c r="D4" s="6">
        <v>10</v>
      </c>
      <c r="G4" s="48"/>
    </row>
    <row r="5" spans="1:20" x14ac:dyDescent="0.25">
      <c r="A5" s="142">
        <v>4</v>
      </c>
      <c r="B5" s="6">
        <v>1146.5</v>
      </c>
      <c r="C5" s="6">
        <v>32</v>
      </c>
      <c r="D5" s="6">
        <v>10.5</v>
      </c>
    </row>
    <row r="6" spans="1:20" x14ac:dyDescent="0.25">
      <c r="A6" s="142">
        <v>5</v>
      </c>
      <c r="B6" s="6">
        <v>1160.3</v>
      </c>
      <c r="C6" s="6">
        <v>38</v>
      </c>
      <c r="D6" s="6">
        <v>11</v>
      </c>
    </row>
    <row r="7" spans="1:20" x14ac:dyDescent="0.25">
      <c r="A7" s="142">
        <v>6</v>
      </c>
      <c r="B7" s="6">
        <v>1105</v>
      </c>
      <c r="C7" s="6">
        <v>35</v>
      </c>
      <c r="D7" s="6">
        <v>13</v>
      </c>
    </row>
    <row r="8" spans="1:20" x14ac:dyDescent="0.25">
      <c r="A8" s="142">
        <v>7</v>
      </c>
      <c r="B8" s="6">
        <v>1381.3</v>
      </c>
      <c r="C8" s="6">
        <v>50</v>
      </c>
      <c r="D8" s="6">
        <v>14</v>
      </c>
    </row>
    <row r="9" spans="1:20" x14ac:dyDescent="0.25">
      <c r="A9" s="142">
        <v>8</v>
      </c>
      <c r="B9" s="6">
        <v>801.2</v>
      </c>
      <c r="C9" s="6">
        <v>32</v>
      </c>
      <c r="D9" s="6">
        <v>11.5</v>
      </c>
    </row>
    <row r="10" spans="1:20" x14ac:dyDescent="0.25">
      <c r="A10" s="142">
        <v>9</v>
      </c>
      <c r="B10" s="6">
        <v>1522.5</v>
      </c>
      <c r="C10" s="6">
        <v>55</v>
      </c>
      <c r="D10" s="6">
        <v>15</v>
      </c>
      <c r="T10" s="55"/>
    </row>
    <row r="11" spans="1:20" x14ac:dyDescent="0.25">
      <c r="A11" s="142">
        <v>10</v>
      </c>
      <c r="B11" s="6">
        <v>1330</v>
      </c>
      <c r="C11" s="6">
        <v>41.5</v>
      </c>
      <c r="D11" s="6">
        <v>19</v>
      </c>
      <c r="T11" s="55"/>
    </row>
    <row r="12" spans="1:20" x14ac:dyDescent="0.25">
      <c r="T12" s="55"/>
    </row>
    <row r="13" spans="1:20" ht="20.25" x14ac:dyDescent="0.3">
      <c r="A13" s="158" t="s">
        <v>180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</row>
    <row r="15" spans="1:20" x14ac:dyDescent="0.25">
      <c r="A15" s="142" t="s">
        <v>16</v>
      </c>
      <c r="B15" s="142" t="s">
        <v>150</v>
      </c>
      <c r="C15" s="142" t="s">
        <v>19</v>
      </c>
      <c r="D15" s="142" t="s">
        <v>18</v>
      </c>
    </row>
    <row r="16" spans="1:20" x14ac:dyDescent="0.25">
      <c r="A16" s="142">
        <v>1</v>
      </c>
      <c r="B16" s="31">
        <v>1</v>
      </c>
      <c r="C16" s="6">
        <v>21.5</v>
      </c>
      <c r="D16" s="6">
        <v>12.5</v>
      </c>
      <c r="F16" s="143" t="s">
        <v>150</v>
      </c>
      <c r="G16" s="57" cm="1">
        <f t="array" ref="G16:P18">TRANSPOSE(B16:D25)</f>
        <v>1</v>
      </c>
      <c r="H16" s="57">
        <v>1</v>
      </c>
      <c r="I16" s="57">
        <v>1</v>
      </c>
      <c r="J16" s="57">
        <v>1</v>
      </c>
      <c r="K16" s="57">
        <v>1</v>
      </c>
      <c r="L16" s="57">
        <v>1</v>
      </c>
      <c r="M16" s="57">
        <v>1</v>
      </c>
      <c r="N16" s="57">
        <v>1</v>
      </c>
      <c r="O16" s="57">
        <v>1</v>
      </c>
      <c r="P16" s="57">
        <v>1</v>
      </c>
    </row>
    <row r="17" spans="1:16" x14ac:dyDescent="0.25">
      <c r="A17" s="142">
        <v>2</v>
      </c>
      <c r="B17" s="31">
        <v>1</v>
      </c>
      <c r="C17" s="6">
        <v>20</v>
      </c>
      <c r="D17" s="6">
        <v>10</v>
      </c>
      <c r="F17" s="143" t="s">
        <v>19</v>
      </c>
      <c r="G17" s="57">
        <v>21.5</v>
      </c>
      <c r="H17" s="57">
        <v>20</v>
      </c>
      <c r="I17" s="57">
        <v>19</v>
      </c>
      <c r="J17" s="57">
        <v>32</v>
      </c>
      <c r="K17" s="57">
        <v>38</v>
      </c>
      <c r="L17" s="57">
        <v>35</v>
      </c>
      <c r="M17" s="57">
        <v>50</v>
      </c>
      <c r="N17" s="57">
        <v>32</v>
      </c>
      <c r="O17" s="57">
        <v>55</v>
      </c>
      <c r="P17" s="57">
        <v>41.5</v>
      </c>
    </row>
    <row r="18" spans="1:16" x14ac:dyDescent="0.25">
      <c r="A18" s="142">
        <v>3</v>
      </c>
      <c r="B18" s="31">
        <v>1</v>
      </c>
      <c r="C18" s="6">
        <v>19</v>
      </c>
      <c r="D18" s="6">
        <v>10</v>
      </c>
      <c r="F18" s="143" t="s">
        <v>18</v>
      </c>
      <c r="G18" s="57">
        <v>12.5</v>
      </c>
      <c r="H18" s="57">
        <v>10</v>
      </c>
      <c r="I18" s="57">
        <v>10</v>
      </c>
      <c r="J18" s="57">
        <v>10.5</v>
      </c>
      <c r="K18" s="57">
        <v>11</v>
      </c>
      <c r="L18" s="57">
        <v>13</v>
      </c>
      <c r="M18" s="57">
        <v>14</v>
      </c>
      <c r="N18" s="57">
        <v>11.5</v>
      </c>
      <c r="O18" s="57">
        <v>15</v>
      </c>
      <c r="P18" s="57">
        <v>19</v>
      </c>
    </row>
    <row r="19" spans="1:16" x14ac:dyDescent="0.25">
      <c r="A19" s="142">
        <v>4</v>
      </c>
      <c r="B19" s="31">
        <v>1</v>
      </c>
      <c r="C19" s="6">
        <v>32</v>
      </c>
      <c r="D19" s="6">
        <v>10.5</v>
      </c>
    </row>
    <row r="20" spans="1:16" x14ac:dyDescent="0.25">
      <c r="A20" s="142">
        <v>5</v>
      </c>
      <c r="B20" s="31">
        <v>1</v>
      </c>
      <c r="C20" s="6">
        <v>38</v>
      </c>
      <c r="D20" s="6">
        <v>11</v>
      </c>
      <c r="G20" s="54" cm="1">
        <f t="array" ref="G20:I22">MMULT(TRANSPOSE(B16:D25), B16:D25)</f>
        <v>10</v>
      </c>
      <c r="H20" s="55">
        <v>344</v>
      </c>
      <c r="I20" s="56">
        <v>126.5</v>
      </c>
      <c r="L20" s="51" cm="1">
        <f t="array" ref="L20:N22">MINVERSE(G20:I22)</f>
        <v>2.3704022544113657</v>
      </c>
      <c r="M20" s="52">
        <v>1.315398246401651E-3</v>
      </c>
      <c r="N20" s="53">
        <v>-0.18305549044170616</v>
      </c>
    </row>
    <row r="21" spans="1:16" x14ac:dyDescent="0.25">
      <c r="A21" s="142">
        <v>6</v>
      </c>
      <c r="B21" s="31">
        <v>1</v>
      </c>
      <c r="C21" s="6">
        <v>35</v>
      </c>
      <c r="D21" s="6">
        <v>13</v>
      </c>
      <c r="F21" s="145" t="s">
        <v>255</v>
      </c>
      <c r="G21" s="54">
        <v>344</v>
      </c>
      <c r="H21" s="55">
        <v>13187.5</v>
      </c>
      <c r="I21" s="56">
        <v>4549.25</v>
      </c>
      <c r="K21" s="145" t="s">
        <v>257</v>
      </c>
      <c r="L21" s="51">
        <v>1.3153982464015658E-3</v>
      </c>
      <c r="M21" s="52">
        <v>1.2500382189990743E-3</v>
      </c>
      <c r="N21" s="53">
        <v>-3.5032974687723099E-3</v>
      </c>
    </row>
    <row r="22" spans="1:16" x14ac:dyDescent="0.25">
      <c r="A22" s="142">
        <v>7</v>
      </c>
      <c r="B22" s="31">
        <v>1</v>
      </c>
      <c r="C22" s="6">
        <v>50</v>
      </c>
      <c r="D22" s="6">
        <v>14</v>
      </c>
      <c r="G22" s="54">
        <v>126.5</v>
      </c>
      <c r="H22" s="55">
        <v>4549.25</v>
      </c>
      <c r="I22" s="56">
        <v>1670.75</v>
      </c>
      <c r="L22" s="51">
        <v>-0.18305549044170588</v>
      </c>
      <c r="M22" s="52">
        <v>-3.5032974687723164E-3</v>
      </c>
      <c r="N22" s="53">
        <v>2.3997543349207399E-2</v>
      </c>
    </row>
    <row r="23" spans="1:16" x14ac:dyDescent="0.25">
      <c r="A23" s="142">
        <v>8</v>
      </c>
      <c r="B23" s="31">
        <v>1</v>
      </c>
      <c r="C23" s="6">
        <v>32</v>
      </c>
      <c r="D23" s="6">
        <v>11.5</v>
      </c>
    </row>
    <row r="24" spans="1:16" x14ac:dyDescent="0.25">
      <c r="A24" s="142">
        <v>9</v>
      </c>
      <c r="B24" s="31">
        <v>1</v>
      </c>
      <c r="C24" s="6">
        <v>55</v>
      </c>
      <c r="D24" s="6">
        <v>15</v>
      </c>
      <c r="G24" s="63" cm="1">
        <f t="array" ref="G24:G26">MMULT(G16:P18, $B$2:$B$11)</f>
        <v>11503.6</v>
      </c>
    </row>
    <row r="25" spans="1:16" x14ac:dyDescent="0.25">
      <c r="A25" s="142">
        <v>10</v>
      </c>
      <c r="B25" s="31">
        <v>1</v>
      </c>
      <c r="C25" s="6">
        <v>41.5</v>
      </c>
      <c r="D25" s="6">
        <v>19</v>
      </c>
      <c r="F25" s="145" t="s">
        <v>256</v>
      </c>
      <c r="G25" s="63">
        <v>415251.20000000001</v>
      </c>
    </row>
    <row r="26" spans="1:16" x14ac:dyDescent="0.25">
      <c r="G26" s="63">
        <v>149605.54999999999</v>
      </c>
    </row>
    <row r="28" spans="1:16" ht="20.25" x14ac:dyDescent="0.3">
      <c r="F28" s="159" t="s">
        <v>151</v>
      </c>
      <c r="G28" s="144"/>
      <c r="H28" s="146"/>
      <c r="I28" s="147"/>
    </row>
    <row r="29" spans="1:16" x14ac:dyDescent="0.25">
      <c r="F29" s="64" cm="1">
        <f t="array" ref="F29:F31">MMULT(_xlfn.ANCHORARRAY(L20),_xlfn.ANCHORARRAY(G24))</f>
        <v>428.26274609157554</v>
      </c>
    </row>
    <row r="30" spans="1:16" x14ac:dyDescent="0.25">
      <c r="F30" s="64">
        <v>10.098941123244231</v>
      </c>
    </row>
    <row r="31" spans="1:16" x14ac:dyDescent="0.25">
      <c r="F31" s="64">
        <v>29.62005369713961</v>
      </c>
    </row>
    <row r="33" spans="1:13" ht="20.25" x14ac:dyDescent="0.3">
      <c r="A33" s="158" t="s">
        <v>181</v>
      </c>
      <c r="B33" s="158"/>
      <c r="C33" s="158"/>
      <c r="D33" s="158"/>
      <c r="E33" s="158"/>
      <c r="F33" s="158"/>
      <c r="G33" s="158"/>
      <c r="H33" s="158"/>
      <c r="I33" s="17"/>
      <c r="J33" s="17"/>
      <c r="K33" s="17"/>
      <c r="L33" s="17"/>
      <c r="M33" s="17"/>
    </row>
    <row r="35" spans="1:13" x14ac:dyDescent="0.25">
      <c r="A35" s="59" t="s">
        <v>152</v>
      </c>
      <c r="B35" s="59"/>
      <c r="C35" s="58"/>
      <c r="D35" s="59" t="s">
        <v>153</v>
      </c>
    </row>
    <row r="36" spans="1:13" x14ac:dyDescent="0.25">
      <c r="A36" s="143" t="s">
        <v>17</v>
      </c>
      <c r="B36" s="66">
        <f>AVERAGE(B2:B11)</f>
        <v>1150.3600000000001</v>
      </c>
      <c r="D36" s="142" t="s">
        <v>6</v>
      </c>
      <c r="E36" s="65">
        <f>_xlfn.STDEV.P(B2:B11)</f>
        <v>225.02635934485497</v>
      </c>
      <c r="G36" s="152" t="s">
        <v>9</v>
      </c>
      <c r="H36" s="68">
        <f>F30*(E37/E36)</f>
        <v>0.52219864492026558</v>
      </c>
    </row>
    <row r="37" spans="1:13" x14ac:dyDescent="0.25">
      <c r="A37" s="143" t="s">
        <v>19</v>
      </c>
      <c r="B37" s="6">
        <f>AVERAGE(C2:C11)</f>
        <v>34.4</v>
      </c>
      <c r="D37" s="142" t="s">
        <v>154</v>
      </c>
      <c r="E37" s="65">
        <f>_xlfn.STDEV.P(C2:C11)</f>
        <v>11.635720862928949</v>
      </c>
      <c r="G37" s="152" t="s">
        <v>10</v>
      </c>
      <c r="H37" s="69">
        <f>F31*(E38/E36)</f>
        <v>0.34956182257181434</v>
      </c>
    </row>
    <row r="38" spans="1:13" x14ac:dyDescent="0.25">
      <c r="A38" s="143" t="s">
        <v>18</v>
      </c>
      <c r="B38" s="6">
        <f>AVERAGE(D2:D11)</f>
        <v>12.65</v>
      </c>
      <c r="D38" s="142" t="s">
        <v>155</v>
      </c>
      <c r="E38" s="65">
        <f>_xlfn.STDEV.P(D2:D11)</f>
        <v>2.6556543449779002</v>
      </c>
    </row>
    <row r="40" spans="1:13" ht="20.25" x14ac:dyDescent="0.3">
      <c r="A40" s="153" t="s">
        <v>182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7"/>
    </row>
    <row r="42" spans="1:13" x14ac:dyDescent="0.25">
      <c r="A42" s="142" t="s">
        <v>16</v>
      </c>
      <c r="B42" s="142" t="s">
        <v>17</v>
      </c>
      <c r="C42" s="142" t="s">
        <v>19</v>
      </c>
      <c r="D42" s="142" t="s">
        <v>18</v>
      </c>
      <c r="E42" s="143" t="s">
        <v>156</v>
      </c>
      <c r="F42" s="143" t="s">
        <v>157</v>
      </c>
      <c r="G42" s="143" t="s">
        <v>158</v>
      </c>
      <c r="H42" s="143" t="s">
        <v>159</v>
      </c>
      <c r="I42" s="143" t="s">
        <v>160</v>
      </c>
      <c r="K42" s="143" t="s">
        <v>164</v>
      </c>
      <c r="L42" s="61">
        <f>L44/ (10 - 2 - 1)</f>
        <v>26880.678502036153</v>
      </c>
    </row>
    <row r="43" spans="1:13" x14ac:dyDescent="0.25">
      <c r="A43" s="142">
        <v>1</v>
      </c>
      <c r="B43" s="6">
        <v>1284.5999999999999</v>
      </c>
      <c r="C43" s="6">
        <v>21.5</v>
      </c>
      <c r="D43" s="6">
        <v>12.5</v>
      </c>
      <c r="E43" s="57">
        <f>$F$29 + $F$30*C2 + $F$31*D2</f>
        <v>1015.6406514555716</v>
      </c>
      <c r="F43" s="61">
        <f>B43-E43</f>
        <v>268.95934854442828</v>
      </c>
      <c r="G43" s="61">
        <f>(B43-$B$54)^2</f>
        <v>18020.377599999942</v>
      </c>
      <c r="H43" s="61">
        <f>(E43-$B$54)^2</f>
        <v>18149.30287223521</v>
      </c>
      <c r="I43" s="61">
        <f>ABS(F43/B43)</f>
        <v>0.20937206020895865</v>
      </c>
      <c r="K43" s="143" t="s">
        <v>165</v>
      </c>
      <c r="L43" s="61">
        <f>SQRT(L42)</f>
        <v>163.95328146162905</v>
      </c>
    </row>
    <row r="44" spans="1:13" x14ac:dyDescent="0.25">
      <c r="A44" s="142">
        <v>2</v>
      </c>
      <c r="B44" s="6">
        <v>870.2</v>
      </c>
      <c r="C44" s="6">
        <v>20</v>
      </c>
      <c r="D44" s="6">
        <v>10</v>
      </c>
      <c r="E44" s="57">
        <f t="shared" ref="E44:E52" si="0">$F$29 + $F$30*C3 + $F$31*D3</f>
        <v>926.44210552785626</v>
      </c>
      <c r="F44" s="61">
        <f t="shared" ref="F44:F52" si="1">B44-E44</f>
        <v>-56.242105527856211</v>
      </c>
      <c r="G44" s="61">
        <f t="shared" ref="G44:G52" si="2">(B44-$B$54)^2</f>
        <v>78489.625600000043</v>
      </c>
      <c r="H44" s="61">
        <f t="shared" ref="H44:H52" si="3">(E44-$B$54)^2</f>
        <v>50139.223464838156</v>
      </c>
      <c r="I44" s="61">
        <f t="shared" ref="I44:I52" si="4">ABS(F44/B44)</f>
        <v>6.4631240551432087E-2</v>
      </c>
      <c r="K44" s="143" t="s">
        <v>166</v>
      </c>
      <c r="L44" s="61">
        <f>SUMSQ(F43:F52)</f>
        <v>188164.74951425308</v>
      </c>
    </row>
    <row r="45" spans="1:13" x14ac:dyDescent="0.25">
      <c r="A45" s="142">
        <v>3</v>
      </c>
      <c r="B45" s="6">
        <v>902</v>
      </c>
      <c r="C45" s="6">
        <v>19</v>
      </c>
      <c r="D45" s="6">
        <v>10</v>
      </c>
      <c r="E45" s="57">
        <f t="shared" si="0"/>
        <v>916.34316440461203</v>
      </c>
      <c r="F45" s="61">
        <f t="shared" si="1"/>
        <v>-14.343164404612025</v>
      </c>
      <c r="G45" s="61">
        <f t="shared" si="2"/>
        <v>61682.689600000063</v>
      </c>
      <c r="H45" s="61">
        <f t="shared" si="3"/>
        <v>54763.879342078901</v>
      </c>
      <c r="I45" s="61">
        <f t="shared" si="4"/>
        <v>1.5901512643694042E-2</v>
      </c>
    </row>
    <row r="46" spans="1:13" x14ac:dyDescent="0.25">
      <c r="A46" s="142">
        <v>4</v>
      </c>
      <c r="B46" s="6">
        <v>1146.5</v>
      </c>
      <c r="C46" s="6">
        <v>32</v>
      </c>
      <c r="D46" s="6">
        <v>10.5</v>
      </c>
      <c r="E46" s="57">
        <f t="shared" si="0"/>
        <v>1062.4394258553568</v>
      </c>
      <c r="F46" s="61">
        <f t="shared" si="1"/>
        <v>84.060574144643169</v>
      </c>
      <c r="G46" s="61">
        <f t="shared" si="2"/>
        <v>14.899600000000984</v>
      </c>
      <c r="H46" s="61">
        <f t="shared" si="3"/>
        <v>7730.0273579237191</v>
      </c>
      <c r="I46" s="61">
        <f t="shared" si="4"/>
        <v>7.331929711700233E-2</v>
      </c>
    </row>
    <row r="47" spans="1:13" x14ac:dyDescent="0.25">
      <c r="A47" s="142">
        <v>5</v>
      </c>
      <c r="B47" s="6">
        <v>1160.3</v>
      </c>
      <c r="C47" s="6">
        <v>38</v>
      </c>
      <c r="D47" s="6">
        <v>11</v>
      </c>
      <c r="E47" s="57">
        <f t="shared" si="0"/>
        <v>1137.843099443392</v>
      </c>
      <c r="F47" s="61">
        <f t="shared" si="1"/>
        <v>22.456900556607934</v>
      </c>
      <c r="G47" s="61">
        <f t="shared" si="2"/>
        <v>98.803599999996564</v>
      </c>
      <c r="H47" s="61">
        <f t="shared" si="3"/>
        <v>156.67279954401633</v>
      </c>
      <c r="I47" s="61">
        <f t="shared" si="4"/>
        <v>1.9354391585458878E-2</v>
      </c>
    </row>
    <row r="48" spans="1:13" x14ac:dyDescent="0.25">
      <c r="A48" s="142">
        <v>6</v>
      </c>
      <c r="B48" s="6">
        <v>1105</v>
      </c>
      <c r="C48" s="6">
        <v>35</v>
      </c>
      <c r="D48" s="6">
        <v>13</v>
      </c>
      <c r="E48" s="57">
        <f t="shared" si="0"/>
        <v>1166.7863834679385</v>
      </c>
      <c r="F48" s="61">
        <f t="shared" si="1"/>
        <v>-61.786383467938549</v>
      </c>
      <c r="G48" s="61">
        <f t="shared" si="2"/>
        <v>2057.5296000000117</v>
      </c>
      <c r="H48" s="61">
        <f t="shared" si="3"/>
        <v>269.82607383576067</v>
      </c>
      <c r="I48" s="61">
        <f t="shared" si="4"/>
        <v>5.5915279156505474E-2</v>
      </c>
    </row>
    <row r="49" spans="1:12" x14ac:dyDescent="0.25">
      <c r="A49" s="142">
        <v>7</v>
      </c>
      <c r="B49" s="6">
        <v>1381.3</v>
      </c>
      <c r="C49" s="6">
        <v>50</v>
      </c>
      <c r="D49" s="6">
        <v>14</v>
      </c>
      <c r="E49" s="57">
        <f t="shared" si="0"/>
        <v>1347.8905540137416</v>
      </c>
      <c r="F49" s="61">
        <f t="shared" si="1"/>
        <v>33.409445986258334</v>
      </c>
      <c r="G49" s="61">
        <f t="shared" si="2"/>
        <v>53333.283599999922</v>
      </c>
      <c r="H49" s="61">
        <f t="shared" si="3"/>
        <v>39018.319768975649</v>
      </c>
      <c r="I49" s="61">
        <f t="shared" si="4"/>
        <v>2.4186958652181522E-2</v>
      </c>
    </row>
    <row r="50" spans="1:12" x14ac:dyDescent="0.25">
      <c r="A50" s="142">
        <v>8</v>
      </c>
      <c r="B50" s="6">
        <v>801.2</v>
      </c>
      <c r="C50" s="6">
        <v>32</v>
      </c>
      <c r="D50" s="6">
        <v>11.5</v>
      </c>
      <c r="E50" s="57">
        <f t="shared" si="0"/>
        <v>1092.0594795524964</v>
      </c>
      <c r="F50" s="61">
        <f t="shared" si="1"/>
        <v>-290.8594795524964</v>
      </c>
      <c r="G50" s="61">
        <f t="shared" si="2"/>
        <v>121912.70560000006</v>
      </c>
      <c r="H50" s="61">
        <f t="shared" si="3"/>
        <v>3398.9506844497955</v>
      </c>
      <c r="I50" s="61">
        <f t="shared" si="4"/>
        <v>0.3630298047335202</v>
      </c>
    </row>
    <row r="51" spans="1:12" x14ac:dyDescent="0.25">
      <c r="A51" s="142">
        <v>9</v>
      </c>
      <c r="B51" s="6">
        <v>1522.5</v>
      </c>
      <c r="C51" s="6">
        <v>55</v>
      </c>
      <c r="D51" s="6">
        <v>15</v>
      </c>
      <c r="E51" s="57">
        <f t="shared" si="0"/>
        <v>1428.0053133271024</v>
      </c>
      <c r="F51" s="61">
        <f t="shared" si="1"/>
        <v>94.494686672897615</v>
      </c>
      <c r="G51" s="61">
        <f t="shared" si="2"/>
        <v>138488.17959999992</v>
      </c>
      <c r="H51" s="61">
        <f t="shared" si="3"/>
        <v>77086.920012504794</v>
      </c>
      <c r="I51" s="61">
        <f t="shared" si="4"/>
        <v>6.2065475647223395E-2</v>
      </c>
    </row>
    <row r="52" spans="1:12" x14ac:dyDescent="0.25">
      <c r="A52" s="149">
        <v>10</v>
      </c>
      <c r="B52" s="70">
        <v>1330</v>
      </c>
      <c r="C52" s="70">
        <v>41.5</v>
      </c>
      <c r="D52" s="70">
        <v>19</v>
      </c>
      <c r="E52" s="57">
        <f t="shared" si="0"/>
        <v>1410.1498229518638</v>
      </c>
      <c r="F52" s="61">
        <f t="shared" si="1"/>
        <v>-80.149822951863825</v>
      </c>
      <c r="G52" s="61">
        <f t="shared" si="2"/>
        <v>32270.529599999954</v>
      </c>
      <c r="H52" s="61">
        <f t="shared" si="3"/>
        <v>67490.752109360692</v>
      </c>
      <c r="I52" s="61">
        <f t="shared" si="4"/>
        <v>6.0263024775837462E-2</v>
      </c>
    </row>
    <row r="53" spans="1:12" x14ac:dyDescent="0.25">
      <c r="A53" s="143" t="s">
        <v>161</v>
      </c>
      <c r="B53" s="150">
        <f>SUM(B43:B52)</f>
        <v>11503.6</v>
      </c>
      <c r="C53" s="150">
        <f t="shared" ref="C53:F53" si="5">SUM(C43:C52)</f>
        <v>344</v>
      </c>
      <c r="D53" s="150">
        <f t="shared" si="5"/>
        <v>126.5</v>
      </c>
      <c r="E53" s="150">
        <f t="shared" si="5"/>
        <v>11503.599999999931</v>
      </c>
      <c r="F53" s="150">
        <f t="shared" si="5"/>
        <v>6.8325789470691234E-11</v>
      </c>
      <c r="G53" s="151">
        <f>SUM(G43:G52)</f>
        <v>506368.62399999989</v>
      </c>
      <c r="H53" s="151">
        <f t="shared" ref="H53" si="6">SUM(H43:H52)</f>
        <v>318203.87448574672</v>
      </c>
      <c r="I53" s="148"/>
    </row>
    <row r="54" spans="1:12" x14ac:dyDescent="0.25">
      <c r="A54" s="143" t="s">
        <v>162</v>
      </c>
      <c r="B54" s="150">
        <f>AVERAGE(B43:B52)</f>
        <v>1150.3600000000001</v>
      </c>
      <c r="C54" s="150">
        <f t="shared" ref="C54:I54" si="7">AVERAGE(C43:C52)</f>
        <v>34.4</v>
      </c>
      <c r="D54" s="150">
        <f t="shared" si="7"/>
        <v>12.65</v>
      </c>
      <c r="E54" s="150">
        <f t="shared" si="7"/>
        <v>1150.3599999999931</v>
      </c>
      <c r="F54" s="150">
        <f t="shared" si="7"/>
        <v>6.8325789470691235E-12</v>
      </c>
      <c r="G54" s="150" t="s">
        <v>146</v>
      </c>
      <c r="H54" s="150" t="s">
        <v>146</v>
      </c>
      <c r="I54" s="150">
        <f t="shared" si="7"/>
        <v>9.4803904507181402E-2</v>
      </c>
    </row>
    <row r="55" spans="1:12" x14ac:dyDescent="0.25">
      <c r="A55" s="143" t="s">
        <v>163</v>
      </c>
      <c r="B55" s="151">
        <f>_xlfn.STDEV.P(B43:B52)</f>
        <v>225.02635934485497</v>
      </c>
      <c r="C55" s="151">
        <f>_xlfn.STDEV.P(C43:C52)</f>
        <v>11.635720862928949</v>
      </c>
      <c r="D55" s="151">
        <f>_xlfn.STDEV.P(D43:D52)</f>
        <v>2.6556543449779002</v>
      </c>
      <c r="E55" s="151">
        <f>_xlfn.STDEV.P(E43:E52)</f>
        <v>178.38269940937391</v>
      </c>
      <c r="F55" s="151">
        <f>_xlfn.STDEV.P(F43:F52)</f>
        <v>137.17315681803532</v>
      </c>
      <c r="G55" s="150" t="s">
        <v>146</v>
      </c>
      <c r="H55" s="150" t="s">
        <v>146</v>
      </c>
      <c r="I55" s="148"/>
    </row>
    <row r="57" spans="1:12" ht="20.25" x14ac:dyDescent="0.3">
      <c r="A57" s="158" t="s">
        <v>183</v>
      </c>
      <c r="B57" s="158"/>
      <c r="C57" s="158"/>
      <c r="D57" s="158"/>
      <c r="E57" s="158"/>
      <c r="F57" s="158"/>
      <c r="G57" s="158"/>
      <c r="H57" s="158"/>
      <c r="I57" s="158"/>
      <c r="J57" s="17"/>
      <c r="K57" s="17"/>
      <c r="L57" s="17"/>
    </row>
    <row r="59" spans="1:12" x14ac:dyDescent="0.25">
      <c r="A59" s="154" t="s">
        <v>167</v>
      </c>
      <c r="B59" s="154"/>
      <c r="C59" s="154"/>
      <c r="D59" s="59"/>
      <c r="E59" s="59"/>
      <c r="F59" s="59"/>
    </row>
    <row r="60" spans="1:12" x14ac:dyDescent="0.25">
      <c r="A60" s="54" cm="1">
        <f t="array" ref="A60:C62">L42*L20:N22</f>
        <v>63718.020921333627</v>
      </c>
      <c r="B60" s="55">
        <v>35.358797363664912</v>
      </c>
      <c r="C60" s="56">
        <v>-4920.6557865960549</v>
      </c>
      <c r="E60" s="143" t="s">
        <v>168</v>
      </c>
      <c r="F60" s="61">
        <f>A60</f>
        <v>63718.020921333627</v>
      </c>
      <c r="H60" s="143" t="s">
        <v>171</v>
      </c>
      <c r="I60" s="61">
        <f>SQRT(F60)</f>
        <v>252.42428750287408</v>
      </c>
    </row>
    <row r="61" spans="1:12" x14ac:dyDescent="0.25">
      <c r="A61" s="54">
        <v>35.358797363662624</v>
      </c>
      <c r="B61" s="55">
        <v>33.601875480171977</v>
      </c>
      <c r="C61" s="56">
        <v>-94.171012955065507</v>
      </c>
      <c r="E61" s="143" t="s">
        <v>169</v>
      </c>
      <c r="F61" s="61">
        <f>B61</f>
        <v>33.601875480171977</v>
      </c>
      <c r="H61" s="143" t="s">
        <v>172</v>
      </c>
      <c r="I61" s="61">
        <f t="shared" ref="I61:I62" si="8">SQRT(F61)</f>
        <v>5.7967124717525857</v>
      </c>
    </row>
    <row r="62" spans="1:12" x14ac:dyDescent="0.25">
      <c r="A62" s="54">
        <v>-4920.6557865960476</v>
      </c>
      <c r="B62" s="55">
        <v>-94.171012955065677</v>
      </c>
      <c r="C62" s="56">
        <v>645.07024760872002</v>
      </c>
      <c r="E62" s="143" t="s">
        <v>170</v>
      </c>
      <c r="F62" s="61">
        <f>C62</f>
        <v>645.07024760872002</v>
      </c>
      <c r="H62" s="143" t="s">
        <v>173</v>
      </c>
      <c r="I62" s="61">
        <f t="shared" si="8"/>
        <v>25.398233159192788</v>
      </c>
    </row>
    <row r="64" spans="1:12" ht="20.25" x14ac:dyDescent="0.3">
      <c r="A64" s="158" t="s">
        <v>258</v>
      </c>
      <c r="B64" s="158"/>
      <c r="C64" s="158"/>
      <c r="D64" s="158"/>
      <c r="E64" s="158"/>
      <c r="F64" s="158"/>
      <c r="G64" s="158"/>
      <c r="H64" s="158"/>
      <c r="I64" s="158"/>
    </row>
    <row r="66" spans="1:13" x14ac:dyDescent="0.25">
      <c r="A66" s="142" t="s">
        <v>174</v>
      </c>
      <c r="B66" s="60">
        <f>F30/I61</f>
        <v>1.7421842419227158</v>
      </c>
    </row>
    <row r="67" spans="1:13" x14ac:dyDescent="0.25">
      <c r="A67" s="142" t="s">
        <v>175</v>
      </c>
      <c r="B67" s="60">
        <f>F31/I62</f>
        <v>1.1662249697246658</v>
      </c>
    </row>
    <row r="68" spans="1:13" x14ac:dyDescent="0.25">
      <c r="A68" s="142" t="s">
        <v>176</v>
      </c>
      <c r="B68" s="60">
        <f>_xlfn.T.INV.2T(0.05, 7)</f>
        <v>2.3646242515927849</v>
      </c>
    </row>
    <row r="70" spans="1:13" ht="20.25" x14ac:dyDescent="0.3">
      <c r="A70" s="158" t="s">
        <v>184</v>
      </c>
      <c r="B70" s="158"/>
      <c r="C70" s="158"/>
      <c r="D70" s="158"/>
      <c r="E70" s="158"/>
      <c r="F70" s="158"/>
      <c r="G70" s="158"/>
      <c r="H70" s="158"/>
      <c r="I70" s="158"/>
    </row>
    <row r="72" spans="1:13" x14ac:dyDescent="0.25">
      <c r="A72" s="142" t="s">
        <v>177</v>
      </c>
      <c r="B72" s="57">
        <f>F30*(B37/B36)</f>
        <v>0.30199552717375561</v>
      </c>
      <c r="M72"/>
    </row>
    <row r="73" spans="1:13" x14ac:dyDescent="0.25">
      <c r="A73" s="142" t="s">
        <v>178</v>
      </c>
      <c r="B73" s="61">
        <f>F31*(B38/B36)</f>
        <v>0.32571862657673772</v>
      </c>
    </row>
    <row r="75" spans="1:13" ht="20.25" x14ac:dyDescent="0.3">
      <c r="A75" s="158" t="s">
        <v>185</v>
      </c>
      <c r="B75" s="158"/>
      <c r="C75" s="158"/>
      <c r="D75" s="158"/>
      <c r="E75" s="158"/>
      <c r="F75" s="158"/>
      <c r="G75" s="158"/>
      <c r="H75" s="158"/>
      <c r="I75" s="158"/>
    </row>
    <row r="77" spans="1:13" x14ac:dyDescent="0.25">
      <c r="A77" s="143" t="s">
        <v>89</v>
      </c>
      <c r="B77" s="71">
        <f>1-L44/G53</f>
        <v>0.62840361626700414</v>
      </c>
    </row>
    <row r="78" spans="1:13" x14ac:dyDescent="0.25">
      <c r="A78" s="143" t="s">
        <v>179</v>
      </c>
      <c r="B78" s="71">
        <f>1 - (1 - B77) * ((10 - 1) / (10 - 2 - 1))</f>
        <v>0.52223322091471958</v>
      </c>
    </row>
    <row r="80" spans="1:13" ht="20.25" x14ac:dyDescent="0.3">
      <c r="A80" s="158" t="s">
        <v>186</v>
      </c>
      <c r="B80" s="158"/>
      <c r="C80" s="158"/>
      <c r="D80" s="158"/>
      <c r="E80" s="158"/>
      <c r="F80" s="158"/>
      <c r="G80" s="158"/>
      <c r="H80" s="158"/>
      <c r="I80" s="158"/>
    </row>
    <row r="82" spans="1:9" ht="20.25" x14ac:dyDescent="0.25">
      <c r="A82" s="157" t="s">
        <v>189</v>
      </c>
      <c r="C82" s="143" t="s">
        <v>39</v>
      </c>
      <c r="D82" s="61">
        <f>(H53 / 2) / (L44 / 7)</f>
        <v>5.9188214773232657</v>
      </c>
    </row>
    <row r="83" spans="1:9" x14ac:dyDescent="0.25">
      <c r="C83" s="143" t="s">
        <v>187</v>
      </c>
      <c r="D83" s="61">
        <f>_xlfn.F.INV(0.95, 2, 7)</f>
        <v>4.7374141277758817</v>
      </c>
    </row>
    <row r="85" spans="1:9" ht="20.25" x14ac:dyDescent="0.25">
      <c r="A85" s="157" t="s">
        <v>188</v>
      </c>
      <c r="C85" s="143" t="s">
        <v>39</v>
      </c>
      <c r="D85" s="61">
        <f>(B77 / (1 - B77)) * (7 / 2)</f>
        <v>5.9188214773232684</v>
      </c>
    </row>
    <row r="86" spans="1:9" x14ac:dyDescent="0.25">
      <c r="C86" s="143" t="s">
        <v>187</v>
      </c>
      <c r="D86" s="61">
        <f>_xlfn.F.INV(0.95, 2, 7)</f>
        <v>4.7374141277758817</v>
      </c>
    </row>
    <row r="88" spans="1:9" ht="20.25" x14ac:dyDescent="0.3">
      <c r="A88" s="158" t="s">
        <v>190</v>
      </c>
      <c r="B88" s="158"/>
      <c r="C88" s="158"/>
      <c r="D88" s="158"/>
      <c r="E88" s="158"/>
      <c r="F88" s="158"/>
      <c r="G88" s="158"/>
      <c r="H88" s="158"/>
      <c r="I88" s="158"/>
    </row>
    <row r="90" spans="1:9" x14ac:dyDescent="0.25">
      <c r="A90" s="142" t="s">
        <v>16</v>
      </c>
      <c r="B90" s="142" t="s">
        <v>191</v>
      </c>
    </row>
    <row r="91" spans="1:9" x14ac:dyDescent="0.25">
      <c r="A91" s="142">
        <v>1</v>
      </c>
      <c r="B91" s="6">
        <f>ABS(F43/B43)</f>
        <v>0.20937206020895865</v>
      </c>
    </row>
    <row r="92" spans="1:9" x14ac:dyDescent="0.25">
      <c r="A92" s="142">
        <v>2</v>
      </c>
      <c r="B92" s="6">
        <f t="shared" ref="B92:B100" si="9">ABS(F44/B44)</f>
        <v>6.4631240551432087E-2</v>
      </c>
    </row>
    <row r="93" spans="1:9" x14ac:dyDescent="0.25">
      <c r="A93" s="142">
        <v>3</v>
      </c>
      <c r="B93" s="6">
        <f t="shared" si="9"/>
        <v>1.5901512643694042E-2</v>
      </c>
    </row>
    <row r="94" spans="1:9" x14ac:dyDescent="0.25">
      <c r="A94" s="142">
        <v>4</v>
      </c>
      <c r="B94" s="6">
        <f t="shared" si="9"/>
        <v>7.331929711700233E-2</v>
      </c>
    </row>
    <row r="95" spans="1:9" x14ac:dyDescent="0.25">
      <c r="A95" s="142">
        <v>5</v>
      </c>
      <c r="B95" s="6">
        <f t="shared" si="9"/>
        <v>1.9354391585458878E-2</v>
      </c>
    </row>
    <row r="96" spans="1:9" x14ac:dyDescent="0.25">
      <c r="A96" s="142">
        <v>6</v>
      </c>
      <c r="B96" s="6">
        <f t="shared" si="9"/>
        <v>5.5915279156505474E-2</v>
      </c>
    </row>
    <row r="97" spans="1:9" x14ac:dyDescent="0.25">
      <c r="A97" s="142">
        <v>7</v>
      </c>
      <c r="B97" s="6">
        <f t="shared" si="9"/>
        <v>2.4186958652181522E-2</v>
      </c>
    </row>
    <row r="98" spans="1:9" x14ac:dyDescent="0.25">
      <c r="A98" s="142">
        <v>8</v>
      </c>
      <c r="B98" s="6">
        <f t="shared" si="9"/>
        <v>0.3630298047335202</v>
      </c>
    </row>
    <row r="99" spans="1:9" x14ac:dyDescent="0.25">
      <c r="A99" s="142">
        <v>9</v>
      </c>
      <c r="B99" s="6">
        <f t="shared" si="9"/>
        <v>6.2065475647223395E-2</v>
      </c>
    </row>
    <row r="100" spans="1:9" x14ac:dyDescent="0.25">
      <c r="A100" s="142">
        <v>10</v>
      </c>
      <c r="B100" s="6">
        <f t="shared" si="9"/>
        <v>6.0263024775837462E-2</v>
      </c>
    </row>
    <row r="101" spans="1:9" x14ac:dyDescent="0.25">
      <c r="A101" s="143" t="s">
        <v>161</v>
      </c>
      <c r="B101" s="151">
        <f>SUM(B91:B100)</f>
        <v>0.94803904507181402</v>
      </c>
    </row>
    <row r="102" spans="1:9" x14ac:dyDescent="0.25">
      <c r="A102" s="143" t="s">
        <v>162</v>
      </c>
      <c r="B102" s="155">
        <f>AVERAGE(B91:B100)</f>
        <v>9.4803904507181402E-2</v>
      </c>
    </row>
    <row r="104" spans="1:9" ht="20.25" x14ac:dyDescent="0.3">
      <c r="A104" s="158" t="s">
        <v>192</v>
      </c>
      <c r="B104" s="158"/>
      <c r="C104" s="158"/>
      <c r="D104" s="158"/>
      <c r="E104" s="158"/>
      <c r="F104" s="158"/>
      <c r="G104" s="158"/>
      <c r="H104" s="158"/>
      <c r="I104" s="158"/>
    </row>
    <row r="106" spans="1:9" ht="20.25" x14ac:dyDescent="0.25">
      <c r="A106" s="143" t="s">
        <v>194</v>
      </c>
      <c r="C106" s="143" t="s">
        <v>193</v>
      </c>
      <c r="D106" s="61">
        <f>F29 + F30*45 + F31*15</f>
        <v>1327.0159020946601</v>
      </c>
      <c r="F106" s="156" t="s">
        <v>197</v>
      </c>
      <c r="G106" s="61">
        <f>D106-B68*D108</f>
        <v>1154.3112973370569</v>
      </c>
    </row>
    <row r="107" spans="1:9" ht="20.25" x14ac:dyDescent="0.25">
      <c r="A107" s="50">
        <v>1</v>
      </c>
      <c r="C107" s="143"/>
      <c r="D107" s="62" cm="1">
        <f t="array" ref="D107">MMULT(MMULT(TRANSPOSE(A107:A109), L20:N22), A107:A109)</f>
        <v>0.19844644753849736</v>
      </c>
      <c r="F107" s="156" t="s">
        <v>198</v>
      </c>
      <c r="G107" s="61">
        <f>D106+B68*D108</f>
        <v>1499.7205068522633</v>
      </c>
    </row>
    <row r="108" spans="1:9" ht="20.25" x14ac:dyDescent="0.25">
      <c r="A108" s="50">
        <v>45</v>
      </c>
      <c r="C108" s="143" t="s">
        <v>195</v>
      </c>
      <c r="D108" s="61">
        <f>SQRT(L42 *D107 )</f>
        <v>73.036806858963459</v>
      </c>
      <c r="F108" s="156" t="s">
        <v>199</v>
      </c>
      <c r="G108" s="61">
        <f>D106-B68*D109</f>
        <v>902.60007704327791</v>
      </c>
    </row>
    <row r="109" spans="1:9" ht="20.25" x14ac:dyDescent="0.25">
      <c r="A109" s="50">
        <v>15</v>
      </c>
      <c r="C109" s="143" t="s">
        <v>196</v>
      </c>
      <c r="D109" s="61">
        <f>SQRT(L42 * (1 + D107))</f>
        <v>179.48552492663492</v>
      </c>
      <c r="F109" s="156" t="s">
        <v>200</v>
      </c>
      <c r="G109" s="61">
        <f>D106+B68*D109</f>
        <v>1751.4317271460422</v>
      </c>
    </row>
  </sheetData>
  <mergeCells count="10">
    <mergeCell ref="A70:I70"/>
    <mergeCell ref="A75:I75"/>
    <mergeCell ref="A80:I80"/>
    <mergeCell ref="A88:I88"/>
    <mergeCell ref="A104:I104"/>
    <mergeCell ref="A57:I57"/>
    <mergeCell ref="A40:L40"/>
    <mergeCell ref="A64:I64"/>
    <mergeCell ref="A13:P13"/>
    <mergeCell ref="A33:H3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ECBA-B56A-4821-A771-01FD052231ED}">
  <dimension ref="A1:AB114"/>
  <sheetViews>
    <sheetView topLeftCell="A62" zoomScale="50" zoomScaleNormal="70" workbookViewId="0">
      <selection activeCell="I123" sqref="I123"/>
    </sheetView>
  </sheetViews>
  <sheetFormatPr defaultColWidth="29.5703125" defaultRowHeight="18.75" x14ac:dyDescent="0.3"/>
  <cols>
    <col min="1" max="1" width="3.85546875" style="14" bestFit="1" customWidth="1"/>
    <col min="2" max="2" width="7.140625" style="14" bestFit="1" customWidth="1"/>
    <col min="3" max="3" width="5.85546875" style="14" bestFit="1" customWidth="1"/>
    <col min="4" max="4" width="3" style="14" bestFit="1" customWidth="1"/>
    <col min="5" max="5" width="6.42578125" style="17" bestFit="1" customWidth="1"/>
    <col min="6" max="6" width="19" customWidth="1"/>
    <col min="7" max="7" width="33.5703125" style="14" customWidth="1"/>
    <col min="8" max="8" width="21.140625" style="14" bestFit="1" customWidth="1"/>
    <col min="9" max="9" width="29" style="14" bestFit="1" customWidth="1"/>
    <col min="10" max="10" width="19.28515625" style="14" bestFit="1" customWidth="1"/>
    <col min="11" max="11" width="15.5703125" style="14" bestFit="1" customWidth="1"/>
    <col min="12" max="12" width="19" style="14" bestFit="1" customWidth="1"/>
    <col min="13" max="13" width="17.42578125" style="14" bestFit="1" customWidth="1"/>
    <col min="14" max="14" width="20.140625" style="14" bestFit="1" customWidth="1"/>
    <col min="15" max="15" width="19.7109375" style="14" bestFit="1" customWidth="1"/>
    <col min="16" max="16" width="24.42578125" style="14" customWidth="1"/>
    <col min="17" max="17" width="3.85546875" style="14" bestFit="1" customWidth="1"/>
    <col min="18" max="18" width="7.140625" style="14" bestFit="1" customWidth="1"/>
    <col min="19" max="19" width="5.85546875" style="14" bestFit="1" customWidth="1"/>
    <col min="20" max="20" width="3" style="14" bestFit="1" customWidth="1"/>
    <col min="21" max="21" width="4.85546875" style="14" customWidth="1"/>
    <col min="22" max="22" width="3.85546875" style="14" bestFit="1" customWidth="1"/>
    <col min="23" max="23" width="7.140625" style="14" bestFit="1" customWidth="1"/>
    <col min="24" max="24" width="5.85546875" style="14" bestFit="1" customWidth="1"/>
    <col min="25" max="25" width="3" style="14" bestFit="1" customWidth="1"/>
    <col min="26" max="28" width="29.5703125" style="17"/>
    <col min="29" max="16384" width="29.5703125" style="14"/>
  </cols>
  <sheetData>
    <row r="1" spans="1:25" ht="25.5" x14ac:dyDescent="0.3">
      <c r="A1" s="7" t="s">
        <v>16</v>
      </c>
      <c r="B1" s="7" t="s">
        <v>21</v>
      </c>
      <c r="C1" s="7" t="s">
        <v>20</v>
      </c>
      <c r="D1" s="7" t="s">
        <v>22</v>
      </c>
      <c r="E1" s="7" t="s">
        <v>55</v>
      </c>
      <c r="F1" s="21"/>
      <c r="G1" s="114" t="s">
        <v>23</v>
      </c>
      <c r="H1" s="114"/>
      <c r="I1" s="114"/>
      <c r="J1" s="114"/>
      <c r="K1" s="114"/>
      <c r="L1" s="114"/>
      <c r="M1" s="114"/>
      <c r="N1" s="114"/>
      <c r="O1" s="114"/>
      <c r="P1" s="21"/>
      <c r="Q1" s="115" t="s">
        <v>51</v>
      </c>
      <c r="R1" s="115"/>
      <c r="S1" s="115"/>
      <c r="T1" s="115"/>
      <c r="V1" s="115" t="s">
        <v>52</v>
      </c>
      <c r="W1" s="115"/>
      <c r="X1" s="115"/>
      <c r="Y1" s="115"/>
    </row>
    <row r="2" spans="1:25" ht="25.5" x14ac:dyDescent="0.3">
      <c r="A2" s="7">
        <v>1</v>
      </c>
      <c r="B2" s="6">
        <v>35</v>
      </c>
      <c r="C2" s="6">
        <v>6</v>
      </c>
      <c r="D2" s="16">
        <v>1</v>
      </c>
      <c r="E2" s="25">
        <f t="shared" ref="E2:E33" si="0">C2*D2</f>
        <v>6</v>
      </c>
      <c r="F2" s="21"/>
      <c r="G2" s="114" t="s">
        <v>57</v>
      </c>
      <c r="H2" s="114"/>
      <c r="I2" s="114"/>
      <c r="J2" s="114"/>
      <c r="K2" s="114"/>
      <c r="L2" s="114"/>
      <c r="M2" s="114"/>
      <c r="N2" s="114"/>
      <c r="O2" s="114"/>
      <c r="P2" s="21"/>
      <c r="Q2" s="15" t="s">
        <v>16</v>
      </c>
      <c r="R2" s="15" t="s">
        <v>20</v>
      </c>
      <c r="S2" s="15" t="s">
        <v>21</v>
      </c>
      <c r="T2" s="15" t="s">
        <v>22</v>
      </c>
      <c r="V2" s="15" t="s">
        <v>16</v>
      </c>
      <c r="W2" s="15" t="s">
        <v>20</v>
      </c>
      <c r="X2" s="15" t="s">
        <v>21</v>
      </c>
      <c r="Y2" s="15" t="s">
        <v>22</v>
      </c>
    </row>
    <row r="3" spans="1:25" x14ac:dyDescent="0.3">
      <c r="A3" s="7">
        <v>2</v>
      </c>
      <c r="B3" s="6">
        <v>35.299999999999997</v>
      </c>
      <c r="C3" s="6">
        <v>6.3</v>
      </c>
      <c r="D3" s="16">
        <v>1</v>
      </c>
      <c r="E3" s="25">
        <f t="shared" si="0"/>
        <v>6.3</v>
      </c>
      <c r="F3" s="21"/>
      <c r="G3" s="17" t="s">
        <v>24</v>
      </c>
      <c r="H3" s="17"/>
      <c r="I3" s="17"/>
      <c r="J3" s="17"/>
      <c r="K3" s="17"/>
      <c r="L3" s="17"/>
      <c r="M3" s="17"/>
      <c r="N3" s="17"/>
      <c r="O3" s="17"/>
      <c r="P3" s="22"/>
      <c r="T3" s="14">
        <v>0</v>
      </c>
      <c r="Y3" s="14">
        <v>1</v>
      </c>
    </row>
    <row r="4" spans="1:25" ht="19.5" thickBot="1" x14ac:dyDescent="0.35">
      <c r="A4" s="7">
        <v>3</v>
      </c>
      <c r="B4" s="6">
        <v>36</v>
      </c>
      <c r="C4" s="6">
        <v>4.8</v>
      </c>
      <c r="D4" s="16">
        <v>0</v>
      </c>
      <c r="E4" s="25">
        <f t="shared" si="0"/>
        <v>0</v>
      </c>
      <c r="F4" s="21"/>
      <c r="G4" s="17"/>
      <c r="H4" s="17"/>
      <c r="I4" s="17"/>
      <c r="J4" s="17"/>
      <c r="K4" s="17"/>
      <c r="L4" s="17"/>
      <c r="M4" s="17"/>
      <c r="N4" s="17"/>
      <c r="O4" s="17"/>
      <c r="P4" s="22"/>
    </row>
    <row r="5" spans="1:25" x14ac:dyDescent="0.3">
      <c r="A5" s="7">
        <v>4</v>
      </c>
      <c r="B5" s="6">
        <v>36</v>
      </c>
      <c r="C5" s="6">
        <v>5.5</v>
      </c>
      <c r="D5" s="16">
        <v>0</v>
      </c>
      <c r="E5" s="25">
        <f t="shared" si="0"/>
        <v>0</v>
      </c>
      <c r="F5" s="21"/>
      <c r="G5" s="18" t="s">
        <v>25</v>
      </c>
      <c r="H5" s="18"/>
      <c r="I5" s="17"/>
      <c r="J5" s="17"/>
      <c r="K5" s="17"/>
      <c r="L5" s="17"/>
      <c r="M5" s="17"/>
      <c r="N5" s="17"/>
      <c r="O5" s="17"/>
      <c r="P5" s="22"/>
      <c r="Q5" s="15" t="s">
        <v>16</v>
      </c>
      <c r="R5" s="15" t="s">
        <v>21</v>
      </c>
      <c r="S5" s="15" t="s">
        <v>20</v>
      </c>
      <c r="T5" s="15" t="s">
        <v>22</v>
      </c>
      <c r="V5" s="15" t="s">
        <v>16</v>
      </c>
      <c r="W5" s="15" t="s">
        <v>21</v>
      </c>
      <c r="X5" s="15" t="s">
        <v>20</v>
      </c>
      <c r="Y5" s="15" t="s">
        <v>22</v>
      </c>
    </row>
    <row r="6" spans="1:25" x14ac:dyDescent="0.3">
      <c r="A6" s="7">
        <v>5</v>
      </c>
      <c r="B6" s="6">
        <v>37</v>
      </c>
      <c r="C6" s="6">
        <v>8</v>
      </c>
      <c r="D6" s="16">
        <v>1</v>
      </c>
      <c r="E6" s="25">
        <f t="shared" si="0"/>
        <v>8</v>
      </c>
      <c r="F6" s="21"/>
      <c r="G6" s="17" t="s">
        <v>26</v>
      </c>
      <c r="H6" s="26">
        <v>0.88189438058212866</v>
      </c>
      <c r="I6" s="17"/>
      <c r="J6" s="17"/>
      <c r="K6" s="17"/>
      <c r="L6" s="17"/>
      <c r="M6" s="17"/>
      <c r="N6" s="17"/>
      <c r="O6" s="17"/>
      <c r="P6" s="22"/>
      <c r="Q6" s="7">
        <v>3</v>
      </c>
      <c r="R6" s="6">
        <v>36</v>
      </c>
      <c r="S6" s="6">
        <v>4.8</v>
      </c>
      <c r="T6" s="16">
        <v>0</v>
      </c>
      <c r="V6" s="7">
        <v>1</v>
      </c>
      <c r="W6" s="6">
        <v>35</v>
      </c>
      <c r="X6" s="6">
        <v>6</v>
      </c>
      <c r="Y6" s="16">
        <v>1</v>
      </c>
    </row>
    <row r="7" spans="1:25" x14ac:dyDescent="0.3">
      <c r="A7" s="7">
        <v>6</v>
      </c>
      <c r="B7" s="6">
        <v>37.200000000000003</v>
      </c>
      <c r="C7" s="6">
        <v>6</v>
      </c>
      <c r="D7" s="16">
        <v>0</v>
      </c>
      <c r="E7" s="25">
        <f t="shared" si="0"/>
        <v>0</v>
      </c>
      <c r="F7" s="21"/>
      <c r="G7" s="17" t="s">
        <v>27</v>
      </c>
      <c r="H7" s="26">
        <v>0.77773769850233643</v>
      </c>
      <c r="I7" s="17"/>
      <c r="J7" s="17"/>
      <c r="K7" s="17"/>
      <c r="L7" s="17"/>
      <c r="M7" s="17"/>
      <c r="N7" s="17"/>
      <c r="O7" s="17"/>
      <c r="P7" s="22"/>
      <c r="Q7" s="7">
        <v>4</v>
      </c>
      <c r="R7" s="6">
        <v>36</v>
      </c>
      <c r="S7" s="6">
        <v>5.5</v>
      </c>
      <c r="T7" s="16">
        <v>0</v>
      </c>
      <c r="V7" s="7">
        <v>2</v>
      </c>
      <c r="W7" s="6">
        <v>35.299999999999997</v>
      </c>
      <c r="X7" s="6">
        <v>6.3</v>
      </c>
      <c r="Y7" s="16">
        <v>1</v>
      </c>
    </row>
    <row r="8" spans="1:25" x14ac:dyDescent="0.3">
      <c r="A8" s="7">
        <v>7</v>
      </c>
      <c r="B8" s="6">
        <v>38</v>
      </c>
      <c r="C8" s="6">
        <v>5.3</v>
      </c>
      <c r="D8" s="16">
        <v>0</v>
      </c>
      <c r="E8" s="25">
        <f t="shared" si="0"/>
        <v>0</v>
      </c>
      <c r="F8" s="21"/>
      <c r="G8" s="17" t="s">
        <v>28</v>
      </c>
      <c r="H8" s="26">
        <v>0.77456252276665549</v>
      </c>
      <c r="I8" s="17"/>
      <c r="J8" s="17"/>
      <c r="K8" s="17"/>
      <c r="L8" s="17"/>
      <c r="M8" s="17"/>
      <c r="N8" s="17"/>
      <c r="O8" s="17"/>
      <c r="P8" s="22"/>
      <c r="Q8" s="7">
        <v>6</v>
      </c>
      <c r="R8" s="6">
        <v>37.200000000000003</v>
      </c>
      <c r="S8" s="6">
        <v>6</v>
      </c>
      <c r="T8" s="16">
        <v>0</v>
      </c>
      <c r="V8" s="7">
        <v>5</v>
      </c>
      <c r="W8" s="6">
        <v>37</v>
      </c>
      <c r="X8" s="6">
        <v>8</v>
      </c>
      <c r="Y8" s="16">
        <v>1</v>
      </c>
    </row>
    <row r="9" spans="1:25" x14ac:dyDescent="0.3">
      <c r="A9" s="7">
        <v>8</v>
      </c>
      <c r="B9" s="6">
        <v>40</v>
      </c>
      <c r="C9" s="6">
        <v>7.1</v>
      </c>
      <c r="D9" s="16">
        <v>1</v>
      </c>
      <c r="E9" s="25">
        <f t="shared" si="0"/>
        <v>7.1</v>
      </c>
      <c r="F9" s="21"/>
      <c r="G9" s="17" t="s">
        <v>29</v>
      </c>
      <c r="H9" s="26">
        <v>11.877850583366108</v>
      </c>
      <c r="I9" s="17"/>
      <c r="J9" s="17"/>
      <c r="K9" s="17"/>
      <c r="L9" s="17"/>
      <c r="M9" s="17"/>
      <c r="N9" s="17"/>
      <c r="O9" s="17"/>
      <c r="P9" s="22"/>
      <c r="Q9" s="7">
        <v>7</v>
      </c>
      <c r="R9" s="6">
        <v>38</v>
      </c>
      <c r="S9" s="6">
        <v>5.3</v>
      </c>
      <c r="T9" s="16">
        <v>0</v>
      </c>
      <c r="V9" s="7">
        <v>8</v>
      </c>
      <c r="W9" s="6">
        <v>40</v>
      </c>
      <c r="X9" s="6">
        <v>7.1</v>
      </c>
      <c r="Y9" s="16">
        <v>1</v>
      </c>
    </row>
    <row r="10" spans="1:25" ht="19.5" thickBot="1" x14ac:dyDescent="0.35">
      <c r="A10" s="7">
        <v>9</v>
      </c>
      <c r="B10" s="6">
        <v>40</v>
      </c>
      <c r="C10" s="6">
        <v>7.8</v>
      </c>
      <c r="D10" s="16">
        <v>1</v>
      </c>
      <c r="E10" s="25">
        <f t="shared" si="0"/>
        <v>7.8</v>
      </c>
      <c r="F10" s="21"/>
      <c r="G10" s="19" t="s">
        <v>30</v>
      </c>
      <c r="H10" s="28">
        <v>72</v>
      </c>
      <c r="I10" s="17"/>
      <c r="J10" s="17"/>
      <c r="K10" s="17"/>
      <c r="L10" s="17"/>
      <c r="M10" s="17"/>
      <c r="N10" s="17"/>
      <c r="O10" s="17"/>
      <c r="P10" s="22"/>
      <c r="Q10" s="7">
        <v>11</v>
      </c>
      <c r="R10" s="6">
        <v>43</v>
      </c>
      <c r="S10" s="6">
        <v>5.5</v>
      </c>
      <c r="T10" s="16">
        <v>0</v>
      </c>
      <c r="V10" s="7">
        <v>9</v>
      </c>
      <c r="W10" s="6">
        <v>40</v>
      </c>
      <c r="X10" s="6">
        <v>7.8</v>
      </c>
      <c r="Y10" s="16">
        <v>1</v>
      </c>
    </row>
    <row r="11" spans="1:25" x14ac:dyDescent="0.3">
      <c r="A11" s="7">
        <v>10</v>
      </c>
      <c r="B11" s="6">
        <v>42</v>
      </c>
      <c r="C11" s="6">
        <v>8</v>
      </c>
      <c r="D11" s="16">
        <v>1</v>
      </c>
      <c r="E11" s="25">
        <f t="shared" si="0"/>
        <v>8</v>
      </c>
      <c r="F11" s="21"/>
      <c r="G11" s="17"/>
      <c r="H11" s="17"/>
      <c r="I11" s="17"/>
      <c r="J11" s="17"/>
      <c r="K11" s="17"/>
      <c r="L11" s="17"/>
      <c r="M11" s="17"/>
      <c r="N11" s="17"/>
      <c r="O11" s="17"/>
      <c r="P11" s="22"/>
      <c r="Q11" s="7">
        <v>13</v>
      </c>
      <c r="R11" s="6">
        <v>47.5</v>
      </c>
      <c r="S11" s="6">
        <v>6.8</v>
      </c>
      <c r="T11" s="16">
        <v>0</v>
      </c>
      <c r="V11" s="7">
        <v>10</v>
      </c>
      <c r="W11" s="6">
        <v>42</v>
      </c>
      <c r="X11" s="6">
        <v>8</v>
      </c>
      <c r="Y11" s="16">
        <v>1</v>
      </c>
    </row>
    <row r="12" spans="1:25" ht="19.5" thickBot="1" x14ac:dyDescent="0.35">
      <c r="A12" s="7">
        <v>11</v>
      </c>
      <c r="B12" s="6">
        <v>43</v>
      </c>
      <c r="C12" s="6">
        <v>5.5</v>
      </c>
      <c r="D12" s="16">
        <v>0</v>
      </c>
      <c r="E12" s="25">
        <f t="shared" si="0"/>
        <v>0</v>
      </c>
      <c r="F12" s="21"/>
      <c r="G12" s="17" t="s">
        <v>31</v>
      </c>
      <c r="H12" s="17"/>
      <c r="I12" s="17"/>
      <c r="J12" s="17"/>
      <c r="K12" s="17"/>
      <c r="L12" s="17"/>
      <c r="M12" s="17"/>
      <c r="N12" s="17"/>
      <c r="O12" s="17"/>
      <c r="P12" s="22"/>
      <c r="Q12" s="7">
        <v>14</v>
      </c>
      <c r="R12" s="6">
        <v>48</v>
      </c>
      <c r="S12" s="6">
        <v>7.3</v>
      </c>
      <c r="T12" s="16">
        <v>0</v>
      </c>
      <c r="V12" s="7">
        <v>12</v>
      </c>
      <c r="W12" s="6">
        <v>45</v>
      </c>
      <c r="X12" s="6">
        <v>11.5</v>
      </c>
      <c r="Y12" s="16">
        <v>1</v>
      </c>
    </row>
    <row r="13" spans="1:25" x14ac:dyDescent="0.3">
      <c r="A13" s="7">
        <v>12</v>
      </c>
      <c r="B13" s="6">
        <v>45</v>
      </c>
      <c r="C13" s="6">
        <v>11.5</v>
      </c>
      <c r="D13" s="16">
        <v>1</v>
      </c>
      <c r="E13" s="25">
        <f t="shared" si="0"/>
        <v>11.5</v>
      </c>
      <c r="F13" s="21"/>
      <c r="G13" s="20"/>
      <c r="H13" s="20" t="s">
        <v>36</v>
      </c>
      <c r="I13" s="20" t="s">
        <v>37</v>
      </c>
      <c r="J13" s="20" t="s">
        <v>38</v>
      </c>
      <c r="K13" s="20" t="s">
        <v>39</v>
      </c>
      <c r="L13" s="20" t="s">
        <v>40</v>
      </c>
      <c r="M13" s="17"/>
      <c r="N13" s="17"/>
      <c r="O13" s="17"/>
      <c r="P13" s="22"/>
      <c r="Q13" s="7">
        <v>16</v>
      </c>
      <c r="R13" s="6">
        <v>50</v>
      </c>
      <c r="S13" s="6">
        <v>7.1</v>
      </c>
      <c r="T13" s="16">
        <v>0</v>
      </c>
      <c r="V13" s="7">
        <v>15</v>
      </c>
      <c r="W13" s="6">
        <v>49.1</v>
      </c>
      <c r="X13" s="6">
        <v>7.6</v>
      </c>
      <c r="Y13" s="16">
        <v>1</v>
      </c>
    </row>
    <row r="14" spans="1:25" x14ac:dyDescent="0.3">
      <c r="A14" s="7">
        <v>13</v>
      </c>
      <c r="B14" s="6">
        <v>47.5</v>
      </c>
      <c r="C14" s="6">
        <v>6.8</v>
      </c>
      <c r="D14" s="16">
        <v>0</v>
      </c>
      <c r="E14" s="25">
        <f t="shared" si="0"/>
        <v>0</v>
      </c>
      <c r="F14" s="21"/>
      <c r="G14" s="17" t="s">
        <v>32</v>
      </c>
      <c r="H14" s="29">
        <v>1</v>
      </c>
      <c r="I14" s="29">
        <v>34557.403114123823</v>
      </c>
      <c r="J14" s="29">
        <v>34557.403114123823</v>
      </c>
      <c r="K14" s="29">
        <v>244.94319787170849</v>
      </c>
      <c r="L14" s="29">
        <v>1.4825835529259376E-24</v>
      </c>
      <c r="M14" s="17"/>
      <c r="N14" s="17"/>
      <c r="O14" s="17"/>
      <c r="P14" s="22"/>
      <c r="Q14" s="7">
        <v>17</v>
      </c>
      <c r="R14" s="6">
        <v>50</v>
      </c>
      <c r="S14" s="6">
        <v>6.7</v>
      </c>
      <c r="T14" s="16">
        <v>0</v>
      </c>
      <c r="V14" s="7">
        <v>18</v>
      </c>
      <c r="W14" s="6">
        <v>53</v>
      </c>
      <c r="X14" s="6">
        <v>11.3</v>
      </c>
      <c r="Y14" s="16">
        <v>1</v>
      </c>
    </row>
    <row r="15" spans="1:25" x14ac:dyDescent="0.3">
      <c r="A15" s="7">
        <v>14</v>
      </c>
      <c r="B15" s="6">
        <v>48</v>
      </c>
      <c r="C15" s="6">
        <v>7.3</v>
      </c>
      <c r="D15" s="16">
        <v>0</v>
      </c>
      <c r="E15" s="25">
        <f t="shared" si="0"/>
        <v>0</v>
      </c>
      <c r="F15" s="21"/>
      <c r="G15" s="17" t="s">
        <v>33</v>
      </c>
      <c r="H15" s="29">
        <v>70</v>
      </c>
      <c r="I15" s="29">
        <v>9875.8334136539415</v>
      </c>
      <c r="J15" s="29">
        <v>141.08333448077059</v>
      </c>
      <c r="K15" s="29"/>
      <c r="L15" s="29"/>
      <c r="M15" s="17"/>
      <c r="N15" s="17"/>
      <c r="O15" s="17"/>
      <c r="P15" s="22"/>
      <c r="Q15" s="7">
        <v>20</v>
      </c>
      <c r="R15" s="6">
        <v>55</v>
      </c>
      <c r="S15" s="6">
        <v>9</v>
      </c>
      <c r="T15" s="16">
        <v>0</v>
      </c>
      <c r="V15" s="7">
        <v>19</v>
      </c>
      <c r="W15" s="6">
        <v>53</v>
      </c>
      <c r="X15" s="6">
        <v>9.3000000000000007</v>
      </c>
      <c r="Y15" s="16">
        <v>1</v>
      </c>
    </row>
    <row r="16" spans="1:25" ht="19.5" thickBot="1" x14ac:dyDescent="0.35">
      <c r="A16" s="7">
        <v>15</v>
      </c>
      <c r="B16" s="6">
        <v>49.1</v>
      </c>
      <c r="C16" s="6">
        <v>7.6</v>
      </c>
      <c r="D16" s="16">
        <v>1</v>
      </c>
      <c r="E16" s="25">
        <f t="shared" si="0"/>
        <v>7.6</v>
      </c>
      <c r="F16" s="21"/>
      <c r="G16" s="19" t="s">
        <v>34</v>
      </c>
      <c r="H16" s="30">
        <v>71</v>
      </c>
      <c r="I16" s="30">
        <v>44433.236527777764</v>
      </c>
      <c r="J16" s="30"/>
      <c r="K16" s="30"/>
      <c r="L16" s="30"/>
      <c r="M16" s="17"/>
      <c r="N16" s="17"/>
      <c r="O16" s="17"/>
      <c r="P16" s="22"/>
      <c r="Q16" s="7">
        <v>21</v>
      </c>
      <c r="R16" s="6">
        <v>55.1</v>
      </c>
      <c r="S16" s="6">
        <v>7</v>
      </c>
      <c r="T16" s="16">
        <v>0</v>
      </c>
      <c r="V16" s="7">
        <v>24</v>
      </c>
      <c r="W16" s="6">
        <v>58</v>
      </c>
      <c r="X16" s="6">
        <v>7.5</v>
      </c>
      <c r="Y16" s="16">
        <v>1</v>
      </c>
    </row>
    <row r="17" spans="1:25" ht="19.5" thickBot="1" x14ac:dyDescent="0.35">
      <c r="A17" s="7">
        <v>16</v>
      </c>
      <c r="B17" s="6">
        <v>50</v>
      </c>
      <c r="C17" s="6">
        <v>7.1</v>
      </c>
      <c r="D17" s="16">
        <v>0</v>
      </c>
      <c r="E17" s="25">
        <f t="shared" si="0"/>
        <v>0</v>
      </c>
      <c r="F17" s="21"/>
      <c r="G17" s="17"/>
      <c r="H17" s="17"/>
      <c r="I17" s="17"/>
      <c r="J17" s="17"/>
      <c r="K17" s="17"/>
      <c r="L17" s="17"/>
      <c r="M17" s="17"/>
      <c r="N17" s="17"/>
      <c r="O17" s="17"/>
      <c r="P17" s="22"/>
      <c r="Q17" s="7">
        <v>22</v>
      </c>
      <c r="R17" s="6">
        <v>55.6</v>
      </c>
      <c r="S17" s="6">
        <v>8.1</v>
      </c>
      <c r="T17" s="16">
        <v>0</v>
      </c>
      <c r="V17" s="7">
        <v>30</v>
      </c>
      <c r="W17" s="6">
        <v>62</v>
      </c>
      <c r="X17" s="6">
        <v>10.5</v>
      </c>
      <c r="Y17" s="16">
        <v>1</v>
      </c>
    </row>
    <row r="18" spans="1:25" x14ac:dyDescent="0.3">
      <c r="A18" s="7">
        <v>17</v>
      </c>
      <c r="B18" s="6">
        <v>50</v>
      </c>
      <c r="C18" s="6">
        <v>6.7</v>
      </c>
      <c r="D18" s="16">
        <v>0</v>
      </c>
      <c r="E18" s="25">
        <f t="shared" si="0"/>
        <v>0</v>
      </c>
      <c r="F18" s="21"/>
      <c r="G18" s="20"/>
      <c r="H18" s="20" t="s">
        <v>41</v>
      </c>
      <c r="I18" s="20" t="s">
        <v>29</v>
      </c>
      <c r="J18" s="20" t="s">
        <v>42</v>
      </c>
      <c r="K18" s="20" t="s">
        <v>43</v>
      </c>
      <c r="L18" s="20" t="s">
        <v>44</v>
      </c>
      <c r="M18" s="20" t="s">
        <v>45</v>
      </c>
      <c r="N18" s="20" t="s">
        <v>46</v>
      </c>
      <c r="O18" s="20" t="s">
        <v>47</v>
      </c>
      <c r="P18" s="22"/>
      <c r="Q18" s="7">
        <v>23</v>
      </c>
      <c r="R18" s="6">
        <v>58</v>
      </c>
      <c r="S18" s="6">
        <v>10.5</v>
      </c>
      <c r="T18" s="16">
        <v>0</v>
      </c>
      <c r="V18" s="7">
        <v>31</v>
      </c>
      <c r="W18" s="6">
        <v>62</v>
      </c>
      <c r="X18" s="6">
        <v>8.5</v>
      </c>
      <c r="Y18" s="16">
        <v>1</v>
      </c>
    </row>
    <row r="19" spans="1:25" x14ac:dyDescent="0.3">
      <c r="A19" s="7">
        <v>18</v>
      </c>
      <c r="B19" s="6">
        <v>53</v>
      </c>
      <c r="C19" s="6">
        <v>11.3</v>
      </c>
      <c r="D19" s="16">
        <v>1</v>
      </c>
      <c r="E19" s="25">
        <f t="shared" si="0"/>
        <v>11.3</v>
      </c>
      <c r="F19" s="21"/>
      <c r="G19" s="17" t="s">
        <v>35</v>
      </c>
      <c r="H19" s="26">
        <v>15.755760590350931</v>
      </c>
      <c r="I19" s="26">
        <v>3.889084637394991</v>
      </c>
      <c r="J19" s="26">
        <v>4.0512773722776432</v>
      </c>
      <c r="K19" s="26">
        <v>1.3000003459134375E-4</v>
      </c>
      <c r="L19" s="26">
        <v>7.9992258587111778</v>
      </c>
      <c r="M19" s="26">
        <v>23.512295321990685</v>
      </c>
      <c r="N19" s="26">
        <v>7.9992258587111778</v>
      </c>
      <c r="O19" s="26">
        <v>23.512295321990685</v>
      </c>
      <c r="P19" s="22"/>
      <c r="Q19" s="7">
        <v>25</v>
      </c>
      <c r="R19" s="6">
        <v>58.5</v>
      </c>
      <c r="S19" s="6">
        <v>9.8000000000000007</v>
      </c>
      <c r="T19" s="16">
        <v>0</v>
      </c>
      <c r="V19" s="7">
        <v>33</v>
      </c>
      <c r="W19" s="6">
        <v>65</v>
      </c>
      <c r="X19" s="6">
        <v>8.3000000000000007</v>
      </c>
      <c r="Y19" s="16">
        <v>1</v>
      </c>
    </row>
    <row r="20" spans="1:25" ht="19.5" thickBot="1" x14ac:dyDescent="0.35">
      <c r="A20" s="7">
        <v>19</v>
      </c>
      <c r="B20" s="6">
        <v>53</v>
      </c>
      <c r="C20" s="6">
        <v>9.3000000000000007</v>
      </c>
      <c r="D20" s="16">
        <v>1</v>
      </c>
      <c r="E20" s="25">
        <f t="shared" si="0"/>
        <v>9.3000000000000007</v>
      </c>
      <c r="F20" s="21"/>
      <c r="G20" s="19" t="s">
        <v>48</v>
      </c>
      <c r="H20" s="27">
        <v>4.8181537090439948</v>
      </c>
      <c r="I20" s="27">
        <v>0.30785623872604151</v>
      </c>
      <c r="J20" s="27">
        <v>15.650661259886393</v>
      </c>
      <c r="K20" s="27">
        <v>1.4825835529259057E-24</v>
      </c>
      <c r="L20" s="27">
        <v>4.2041538014384878</v>
      </c>
      <c r="M20" s="27">
        <v>5.4321536166495017</v>
      </c>
      <c r="N20" s="27">
        <v>4.2041538014384878</v>
      </c>
      <c r="O20" s="27">
        <v>5.4321536166495017</v>
      </c>
      <c r="P20" s="22"/>
      <c r="Q20" s="7">
        <v>26</v>
      </c>
      <c r="R20" s="6">
        <v>58.7</v>
      </c>
      <c r="S20" s="6">
        <v>7.7</v>
      </c>
      <c r="T20" s="16">
        <v>0</v>
      </c>
      <c r="V20" s="7">
        <v>34</v>
      </c>
      <c r="W20" s="6">
        <v>65</v>
      </c>
      <c r="X20" s="6">
        <v>8.5</v>
      </c>
      <c r="Y20" s="16">
        <v>1</v>
      </c>
    </row>
    <row r="21" spans="1:25" x14ac:dyDescent="0.3">
      <c r="A21" s="7">
        <v>20</v>
      </c>
      <c r="B21" s="6">
        <v>55</v>
      </c>
      <c r="C21" s="6">
        <v>9</v>
      </c>
      <c r="D21" s="16">
        <v>0</v>
      </c>
      <c r="E21" s="25">
        <f t="shared" si="0"/>
        <v>0</v>
      </c>
      <c r="F21" s="21"/>
      <c r="P21" s="21"/>
      <c r="Q21" s="7">
        <v>27</v>
      </c>
      <c r="R21" s="6">
        <v>59.6</v>
      </c>
      <c r="S21" s="6">
        <v>10.5</v>
      </c>
      <c r="T21" s="16">
        <v>0</v>
      </c>
      <c r="V21" s="7">
        <v>39</v>
      </c>
      <c r="W21" s="6">
        <v>73.099999999999994</v>
      </c>
      <c r="X21" s="6">
        <v>9.8000000000000007</v>
      </c>
      <c r="Y21" s="16">
        <v>1</v>
      </c>
    </row>
    <row r="22" spans="1:25" ht="25.5" x14ac:dyDescent="0.3">
      <c r="A22" s="7">
        <v>21</v>
      </c>
      <c r="B22" s="6">
        <v>55.1</v>
      </c>
      <c r="C22" s="6">
        <v>7</v>
      </c>
      <c r="D22" s="16">
        <v>0</v>
      </c>
      <c r="E22" s="25">
        <f t="shared" si="0"/>
        <v>0</v>
      </c>
      <c r="F22" s="21"/>
      <c r="G22" s="114" t="s">
        <v>49</v>
      </c>
      <c r="H22" s="114"/>
      <c r="I22" s="114"/>
      <c r="J22" s="114"/>
      <c r="K22" s="114"/>
      <c r="L22" s="114"/>
      <c r="M22" s="114"/>
      <c r="N22" s="114"/>
      <c r="O22" s="114"/>
      <c r="P22" s="21"/>
      <c r="Q22" s="7">
        <v>28</v>
      </c>
      <c r="R22" s="6">
        <v>60</v>
      </c>
      <c r="S22" s="6">
        <v>10.8</v>
      </c>
      <c r="T22" s="16">
        <v>0</v>
      </c>
      <c r="V22" s="7">
        <v>42</v>
      </c>
      <c r="W22" s="6">
        <v>76</v>
      </c>
      <c r="X22" s="6">
        <v>12</v>
      </c>
      <c r="Y22" s="16">
        <v>1</v>
      </c>
    </row>
    <row r="23" spans="1:25" ht="25.5" x14ac:dyDescent="0.3">
      <c r="A23" s="7">
        <v>22</v>
      </c>
      <c r="B23" s="6">
        <v>55.6</v>
      </c>
      <c r="C23" s="6">
        <v>8.1</v>
      </c>
      <c r="D23" s="16">
        <v>0</v>
      </c>
      <c r="E23" s="25">
        <f t="shared" si="0"/>
        <v>0</v>
      </c>
      <c r="F23" s="21"/>
      <c r="G23" s="114" t="s">
        <v>58</v>
      </c>
      <c r="H23" s="114"/>
      <c r="I23" s="114"/>
      <c r="J23" s="114"/>
      <c r="K23" s="114"/>
      <c r="L23" s="114"/>
      <c r="M23" s="114"/>
      <c r="N23" s="114"/>
      <c r="O23" s="114"/>
      <c r="P23" s="21"/>
      <c r="Q23" s="7">
        <v>29</v>
      </c>
      <c r="R23" s="6">
        <v>60.5</v>
      </c>
      <c r="S23" s="6">
        <v>13</v>
      </c>
      <c r="T23" s="16">
        <v>0</v>
      </c>
      <c r="V23" s="7">
        <v>50</v>
      </c>
      <c r="W23" s="6">
        <v>85</v>
      </c>
      <c r="X23" s="6">
        <v>12.4</v>
      </c>
      <c r="Y23" s="16">
        <v>1</v>
      </c>
    </row>
    <row r="24" spans="1:25" x14ac:dyDescent="0.3">
      <c r="A24" s="7">
        <v>23</v>
      </c>
      <c r="B24" s="6">
        <v>58</v>
      </c>
      <c r="C24" s="6">
        <v>10.5</v>
      </c>
      <c r="D24" s="16">
        <v>0</v>
      </c>
      <c r="E24" s="25">
        <f t="shared" si="0"/>
        <v>0</v>
      </c>
      <c r="F24" s="21"/>
      <c r="G24" s="17" t="s">
        <v>24</v>
      </c>
      <c r="H24" s="17"/>
      <c r="I24" s="17"/>
      <c r="J24" s="17"/>
      <c r="K24" s="17"/>
      <c r="L24" s="17"/>
      <c r="M24" s="17"/>
      <c r="N24" s="17"/>
      <c r="O24" s="17"/>
      <c r="P24" s="21"/>
      <c r="Q24" s="7">
        <v>32</v>
      </c>
      <c r="R24" s="6">
        <v>63</v>
      </c>
      <c r="S24" s="6">
        <v>8.9</v>
      </c>
      <c r="T24" s="16">
        <v>0</v>
      </c>
      <c r="V24" s="7">
        <v>53</v>
      </c>
      <c r="W24" s="6">
        <v>92</v>
      </c>
      <c r="X24" s="6">
        <v>19.5</v>
      </c>
      <c r="Y24" s="16">
        <v>1</v>
      </c>
    </row>
    <row r="25" spans="1:25" ht="19.5" thickBot="1" x14ac:dyDescent="0.35">
      <c r="A25" s="7">
        <v>24</v>
      </c>
      <c r="B25" s="6">
        <v>58</v>
      </c>
      <c r="C25" s="6">
        <v>7.5</v>
      </c>
      <c r="D25" s="16">
        <v>1</v>
      </c>
      <c r="E25" s="25">
        <f t="shared" si="0"/>
        <v>7.5</v>
      </c>
      <c r="F25" s="21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7">
        <v>35</v>
      </c>
      <c r="R25" s="6">
        <v>67</v>
      </c>
      <c r="S25" s="6">
        <v>11</v>
      </c>
      <c r="T25" s="16">
        <v>0</v>
      </c>
      <c r="V25" s="7">
        <v>55</v>
      </c>
      <c r="W25" s="6">
        <v>95</v>
      </c>
      <c r="X25" s="6">
        <v>12.3</v>
      </c>
      <c r="Y25" s="16">
        <v>1</v>
      </c>
    </row>
    <row r="26" spans="1:25" x14ac:dyDescent="0.3">
      <c r="A26" s="7">
        <v>25</v>
      </c>
      <c r="B26" s="6">
        <v>58.5</v>
      </c>
      <c r="C26" s="6">
        <v>9.8000000000000007</v>
      </c>
      <c r="D26" s="16">
        <v>0</v>
      </c>
      <c r="E26" s="25">
        <f t="shared" si="0"/>
        <v>0</v>
      </c>
      <c r="F26" s="21"/>
      <c r="G26" s="18" t="s">
        <v>25</v>
      </c>
      <c r="H26" s="18"/>
      <c r="I26" s="17"/>
      <c r="J26" s="17"/>
      <c r="K26" s="17"/>
      <c r="L26" s="17"/>
      <c r="M26" s="17"/>
      <c r="N26" s="17"/>
      <c r="O26" s="17"/>
      <c r="P26" s="21"/>
      <c r="Q26" s="7">
        <v>36</v>
      </c>
      <c r="R26" s="6">
        <v>71</v>
      </c>
      <c r="S26" s="6">
        <v>11.5</v>
      </c>
      <c r="T26" s="16">
        <v>0</v>
      </c>
      <c r="V26" s="7">
        <v>58</v>
      </c>
      <c r="W26" s="6">
        <v>97.5</v>
      </c>
      <c r="X26" s="6">
        <v>21.5</v>
      </c>
      <c r="Y26" s="16">
        <v>1</v>
      </c>
    </row>
    <row r="27" spans="1:25" x14ac:dyDescent="0.3">
      <c r="A27" s="7">
        <v>26</v>
      </c>
      <c r="B27" s="6">
        <v>58.7</v>
      </c>
      <c r="C27" s="6">
        <v>7.7</v>
      </c>
      <c r="D27" s="16">
        <v>0</v>
      </c>
      <c r="E27" s="25">
        <f t="shared" si="0"/>
        <v>0</v>
      </c>
      <c r="F27" s="21"/>
      <c r="G27" s="17" t="s">
        <v>26</v>
      </c>
      <c r="H27" s="26">
        <v>0.8819058989850036</v>
      </c>
      <c r="I27" s="17"/>
      <c r="J27" s="17"/>
      <c r="K27" s="17"/>
      <c r="L27" s="17"/>
      <c r="M27" s="17"/>
      <c r="N27" s="17"/>
      <c r="O27" s="17"/>
      <c r="P27" s="21"/>
      <c r="Q27" s="7">
        <v>37</v>
      </c>
      <c r="R27" s="6">
        <v>71</v>
      </c>
      <c r="S27" s="6">
        <v>13</v>
      </c>
      <c r="T27" s="16">
        <v>0</v>
      </c>
      <c r="V27" s="7">
        <v>62</v>
      </c>
      <c r="W27" s="6">
        <v>103</v>
      </c>
      <c r="X27" s="6">
        <v>16.3</v>
      </c>
      <c r="Y27" s="16">
        <v>1</v>
      </c>
    </row>
    <row r="28" spans="1:25" x14ac:dyDescent="0.3">
      <c r="A28" s="7">
        <v>27</v>
      </c>
      <c r="B28" s="6">
        <v>59.6</v>
      </c>
      <c r="C28" s="6">
        <v>10.5</v>
      </c>
      <c r="D28" s="16">
        <v>0</v>
      </c>
      <c r="E28" s="25">
        <f t="shared" si="0"/>
        <v>0</v>
      </c>
      <c r="F28" s="21"/>
      <c r="G28" s="17" t="s">
        <v>27</v>
      </c>
      <c r="H28" s="26">
        <v>0.7777580146645473</v>
      </c>
      <c r="I28" s="17"/>
      <c r="J28" s="17"/>
      <c r="K28" s="17"/>
      <c r="L28" s="17"/>
      <c r="M28" s="17"/>
      <c r="N28" s="17"/>
      <c r="O28" s="17"/>
      <c r="P28" s="21"/>
      <c r="Q28" s="7">
        <v>38</v>
      </c>
      <c r="R28" s="6">
        <v>73</v>
      </c>
      <c r="S28" s="6">
        <v>8</v>
      </c>
      <c r="T28" s="16">
        <v>0</v>
      </c>
      <c r="V28" s="7">
        <v>64</v>
      </c>
      <c r="W28" s="6">
        <v>105</v>
      </c>
      <c r="X28" s="6">
        <v>15</v>
      </c>
      <c r="Y28" s="16">
        <v>1</v>
      </c>
    </row>
    <row r="29" spans="1:25" x14ac:dyDescent="0.3">
      <c r="A29" s="7">
        <v>28</v>
      </c>
      <c r="B29" s="6">
        <v>60</v>
      </c>
      <c r="C29" s="6">
        <v>10.8</v>
      </c>
      <c r="D29" s="16">
        <v>0</v>
      </c>
      <c r="E29" s="25">
        <f t="shared" si="0"/>
        <v>0</v>
      </c>
      <c r="F29" s="21"/>
      <c r="G29" s="17" t="s">
        <v>28</v>
      </c>
      <c r="H29" s="26">
        <v>0.7713162179881573</v>
      </c>
      <c r="I29" s="17"/>
      <c r="J29" s="17"/>
      <c r="K29" s="17"/>
      <c r="L29" s="17"/>
      <c r="M29" s="17"/>
      <c r="N29" s="17"/>
      <c r="O29" s="17"/>
      <c r="P29" s="21"/>
      <c r="Q29" s="7">
        <v>40</v>
      </c>
      <c r="R29" s="6">
        <v>74.7</v>
      </c>
      <c r="S29" s="6">
        <v>15.5</v>
      </c>
      <c r="T29" s="16">
        <v>0</v>
      </c>
      <c r="V29" s="7">
        <v>65</v>
      </c>
      <c r="W29" s="6">
        <v>110.4</v>
      </c>
      <c r="X29" s="6">
        <v>13.7</v>
      </c>
      <c r="Y29" s="16">
        <v>1</v>
      </c>
    </row>
    <row r="30" spans="1:25" x14ac:dyDescent="0.3">
      <c r="A30" s="7">
        <v>29</v>
      </c>
      <c r="B30" s="6">
        <v>60.5</v>
      </c>
      <c r="C30" s="6">
        <v>13</v>
      </c>
      <c r="D30" s="16">
        <v>0</v>
      </c>
      <c r="E30" s="25">
        <f t="shared" si="0"/>
        <v>0</v>
      </c>
      <c r="F30" s="21"/>
      <c r="G30" s="17" t="s">
        <v>29</v>
      </c>
      <c r="H30" s="26">
        <v>11.963065564183092</v>
      </c>
      <c r="I30" s="17"/>
      <c r="J30" s="17"/>
      <c r="K30" s="17"/>
      <c r="L30" s="17"/>
      <c r="M30" s="17"/>
      <c r="N30" s="17"/>
      <c r="O30" s="17"/>
      <c r="P30" s="21"/>
      <c r="Q30" s="7">
        <v>41</v>
      </c>
      <c r="R30" s="6">
        <v>75</v>
      </c>
      <c r="S30" s="6">
        <v>14.5</v>
      </c>
      <c r="T30" s="16">
        <v>0</v>
      </c>
      <c r="V30" s="7">
        <v>67</v>
      </c>
      <c r="W30" s="6">
        <v>112</v>
      </c>
      <c r="X30" s="6">
        <v>19</v>
      </c>
      <c r="Y30" s="16">
        <v>1</v>
      </c>
    </row>
    <row r="31" spans="1:25" ht="19.5" thickBot="1" x14ac:dyDescent="0.35">
      <c r="A31" s="7">
        <v>30</v>
      </c>
      <c r="B31" s="6">
        <v>62</v>
      </c>
      <c r="C31" s="6">
        <v>10.5</v>
      </c>
      <c r="D31" s="16">
        <v>1</v>
      </c>
      <c r="E31" s="25">
        <f t="shared" si="0"/>
        <v>10.5</v>
      </c>
      <c r="F31" s="21"/>
      <c r="G31" s="19" t="s">
        <v>30</v>
      </c>
      <c r="H31" s="28">
        <v>72</v>
      </c>
      <c r="I31" s="17"/>
      <c r="J31" s="17"/>
      <c r="K31" s="17"/>
      <c r="L31" s="17"/>
      <c r="M31" s="17"/>
      <c r="N31" s="17"/>
      <c r="O31" s="17"/>
      <c r="P31" s="21"/>
      <c r="Q31" s="7">
        <v>43</v>
      </c>
      <c r="R31" s="6">
        <v>79</v>
      </c>
      <c r="S31" s="6">
        <v>11</v>
      </c>
      <c r="T31" s="16">
        <v>0</v>
      </c>
      <c r="V31" s="7">
        <v>68</v>
      </c>
      <c r="W31" s="6">
        <v>114</v>
      </c>
      <c r="X31" s="6">
        <v>21.4</v>
      </c>
      <c r="Y31" s="16">
        <v>1</v>
      </c>
    </row>
    <row r="32" spans="1:25" x14ac:dyDescent="0.3">
      <c r="A32" s="7">
        <v>31</v>
      </c>
      <c r="B32" s="6">
        <v>62</v>
      </c>
      <c r="C32" s="6">
        <v>8.5</v>
      </c>
      <c r="D32" s="16">
        <v>1</v>
      </c>
      <c r="E32" s="25">
        <f t="shared" si="0"/>
        <v>8.5</v>
      </c>
      <c r="F32" s="21"/>
      <c r="G32" s="17"/>
      <c r="H32" s="17"/>
      <c r="I32" s="17"/>
      <c r="J32" s="17"/>
      <c r="K32" s="17"/>
      <c r="L32" s="17"/>
      <c r="M32" s="17"/>
      <c r="N32" s="17"/>
      <c r="O32" s="17"/>
      <c r="P32" s="21"/>
      <c r="Q32" s="7">
        <v>44</v>
      </c>
      <c r="R32" s="6">
        <v>79</v>
      </c>
      <c r="S32" s="6">
        <v>11.5</v>
      </c>
      <c r="T32" s="16">
        <v>0</v>
      </c>
      <c r="V32" s="7">
        <v>70</v>
      </c>
      <c r="W32" s="6">
        <v>119.8</v>
      </c>
      <c r="X32" s="6">
        <v>15.5</v>
      </c>
      <c r="Y32" s="16">
        <v>1</v>
      </c>
    </row>
    <row r="33" spans="1:25" ht="19.5" thickBot="1" x14ac:dyDescent="0.35">
      <c r="A33" s="7">
        <v>32</v>
      </c>
      <c r="B33" s="6">
        <v>63</v>
      </c>
      <c r="C33" s="6">
        <v>8.9</v>
      </c>
      <c r="D33" s="16">
        <v>0</v>
      </c>
      <c r="E33" s="25">
        <f t="shared" si="0"/>
        <v>0</v>
      </c>
      <c r="F33" s="21"/>
      <c r="G33" s="17" t="s">
        <v>31</v>
      </c>
      <c r="H33" s="17"/>
      <c r="I33" s="17"/>
      <c r="J33" s="17"/>
      <c r="K33" s="17"/>
      <c r="L33" s="17"/>
      <c r="M33" s="17"/>
      <c r="N33" s="17"/>
      <c r="O33" s="17"/>
      <c r="P33" s="21"/>
      <c r="Q33" s="7">
        <v>45</v>
      </c>
      <c r="R33" s="6">
        <v>79</v>
      </c>
      <c r="S33" s="6">
        <v>11.5</v>
      </c>
      <c r="T33" s="16">
        <v>0</v>
      </c>
      <c r="V33" s="7">
        <v>72</v>
      </c>
      <c r="W33" s="6">
        <v>121</v>
      </c>
      <c r="X33" s="6">
        <v>17.5</v>
      </c>
      <c r="Y33" s="16">
        <v>1</v>
      </c>
    </row>
    <row r="34" spans="1:25" x14ac:dyDescent="0.3">
      <c r="A34" s="7">
        <v>33</v>
      </c>
      <c r="B34" s="6">
        <v>65</v>
      </c>
      <c r="C34" s="6">
        <v>8.3000000000000007</v>
      </c>
      <c r="D34" s="16">
        <v>1</v>
      </c>
      <c r="E34" s="25">
        <f t="shared" ref="E34:E65" si="1">C34*D34</f>
        <v>8.3000000000000007</v>
      </c>
      <c r="F34" s="21"/>
      <c r="G34" s="20"/>
      <c r="H34" s="20" t="s">
        <v>36</v>
      </c>
      <c r="I34" s="20" t="s">
        <v>37</v>
      </c>
      <c r="J34" s="20" t="s">
        <v>38</v>
      </c>
      <c r="K34" s="20" t="s">
        <v>39</v>
      </c>
      <c r="L34" s="20" t="s">
        <v>40</v>
      </c>
      <c r="M34" s="17"/>
      <c r="N34" s="17"/>
      <c r="O34" s="17"/>
      <c r="P34" s="21"/>
      <c r="Q34" s="7">
        <v>46</v>
      </c>
      <c r="R34" s="6">
        <v>79.7</v>
      </c>
      <c r="S34" s="6">
        <v>13.3</v>
      </c>
      <c r="T34" s="16">
        <v>0</v>
      </c>
    </row>
    <row r="35" spans="1:25" x14ac:dyDescent="0.3">
      <c r="A35" s="7">
        <v>34</v>
      </c>
      <c r="B35" s="6">
        <v>65</v>
      </c>
      <c r="C35" s="6">
        <v>8.5</v>
      </c>
      <c r="D35" s="16">
        <v>1</v>
      </c>
      <c r="E35" s="25">
        <f t="shared" si="1"/>
        <v>8.5</v>
      </c>
      <c r="F35" s="21"/>
      <c r="G35" s="17" t="s">
        <v>32</v>
      </c>
      <c r="H35" s="17">
        <v>2</v>
      </c>
      <c r="I35" s="17">
        <v>34558.305826964679</v>
      </c>
      <c r="J35" s="17">
        <v>17279.152913482339</v>
      </c>
      <c r="K35" s="17">
        <v>120.73619422282248</v>
      </c>
      <c r="L35" s="17">
        <v>2.9207926560219177E-23</v>
      </c>
      <c r="M35" s="17"/>
      <c r="N35" s="17"/>
      <c r="O35" s="17"/>
      <c r="P35" s="21"/>
      <c r="Q35" s="7">
        <v>47</v>
      </c>
      <c r="R35" s="6">
        <v>80</v>
      </c>
      <c r="S35" s="6">
        <v>14</v>
      </c>
      <c r="T35" s="16">
        <v>0</v>
      </c>
    </row>
    <row r="36" spans="1:25" x14ac:dyDescent="0.3">
      <c r="A36" s="7">
        <v>35</v>
      </c>
      <c r="B36" s="6">
        <v>67</v>
      </c>
      <c r="C36" s="6">
        <v>11</v>
      </c>
      <c r="D36" s="16">
        <v>0</v>
      </c>
      <c r="E36" s="25">
        <f t="shared" si="1"/>
        <v>0</v>
      </c>
      <c r="F36" s="21"/>
      <c r="G36" s="17" t="s">
        <v>33</v>
      </c>
      <c r="H36" s="17">
        <v>69</v>
      </c>
      <c r="I36" s="17">
        <v>9874.9307008130872</v>
      </c>
      <c r="J36" s="17">
        <v>143.1149376929433</v>
      </c>
      <c r="K36" s="17"/>
      <c r="L36" s="17"/>
      <c r="M36" s="17"/>
      <c r="N36" s="17"/>
      <c r="O36" s="17"/>
      <c r="P36" s="21"/>
      <c r="Q36" s="7">
        <v>48</v>
      </c>
      <c r="R36" s="6">
        <v>81.400000000000006</v>
      </c>
      <c r="S36" s="6">
        <v>14</v>
      </c>
      <c r="T36" s="16">
        <v>0</v>
      </c>
    </row>
    <row r="37" spans="1:25" ht="19.5" thickBot="1" x14ac:dyDescent="0.35">
      <c r="A37" s="7">
        <v>36</v>
      </c>
      <c r="B37" s="6">
        <v>71</v>
      </c>
      <c r="C37" s="6">
        <v>11.5</v>
      </c>
      <c r="D37" s="16">
        <v>0</v>
      </c>
      <c r="E37" s="25">
        <f t="shared" si="1"/>
        <v>0</v>
      </c>
      <c r="F37" s="21"/>
      <c r="G37" s="19" t="s">
        <v>34</v>
      </c>
      <c r="H37" s="19">
        <v>71</v>
      </c>
      <c r="I37" s="19">
        <v>44433.236527777764</v>
      </c>
      <c r="J37" s="19"/>
      <c r="K37" s="19"/>
      <c r="L37" s="19"/>
      <c r="M37" s="17"/>
      <c r="N37" s="17"/>
      <c r="O37" s="17"/>
      <c r="P37" s="21"/>
      <c r="Q37" s="7">
        <v>49</v>
      </c>
      <c r="R37" s="6">
        <v>84</v>
      </c>
      <c r="S37" s="6">
        <v>9.8000000000000007</v>
      </c>
      <c r="T37" s="16">
        <v>0</v>
      </c>
    </row>
    <row r="38" spans="1:25" ht="19.5" thickBot="1" x14ac:dyDescent="0.35">
      <c r="A38" s="7">
        <v>37</v>
      </c>
      <c r="B38" s="6">
        <v>71</v>
      </c>
      <c r="C38" s="6">
        <v>13</v>
      </c>
      <c r="D38" s="16">
        <v>0</v>
      </c>
      <c r="E38" s="25">
        <f t="shared" si="1"/>
        <v>0</v>
      </c>
      <c r="F38" s="21"/>
      <c r="G38" s="17"/>
      <c r="H38" s="17"/>
      <c r="I38" s="17"/>
      <c r="J38" s="17"/>
      <c r="K38" s="17"/>
      <c r="L38" s="17"/>
      <c r="M38" s="17"/>
      <c r="N38" s="17"/>
      <c r="O38" s="17"/>
      <c r="P38" s="21"/>
      <c r="Q38" s="7">
        <v>51</v>
      </c>
      <c r="R38" s="6">
        <v>86</v>
      </c>
      <c r="S38" s="6">
        <v>16.5</v>
      </c>
      <c r="T38" s="16">
        <v>0</v>
      </c>
    </row>
    <row r="39" spans="1:25" x14ac:dyDescent="0.3">
      <c r="A39" s="7">
        <v>38</v>
      </c>
      <c r="B39" s="6">
        <v>73</v>
      </c>
      <c r="C39" s="6">
        <v>8</v>
      </c>
      <c r="D39" s="16">
        <v>0</v>
      </c>
      <c r="E39" s="25">
        <f t="shared" si="1"/>
        <v>0</v>
      </c>
      <c r="F39" s="21"/>
      <c r="G39" s="20"/>
      <c r="H39" s="20" t="s">
        <v>41</v>
      </c>
      <c r="I39" s="20" t="s">
        <v>29</v>
      </c>
      <c r="J39" s="20" t="s">
        <v>42</v>
      </c>
      <c r="K39" s="20" t="s">
        <v>43</v>
      </c>
      <c r="L39" s="20" t="s">
        <v>44</v>
      </c>
      <c r="M39" s="20" t="s">
        <v>45</v>
      </c>
      <c r="N39" s="20" t="s">
        <v>46</v>
      </c>
      <c r="O39" s="20" t="s">
        <v>47</v>
      </c>
      <c r="P39" s="21"/>
      <c r="Q39" s="7">
        <v>52</v>
      </c>
      <c r="R39" s="6">
        <v>90</v>
      </c>
      <c r="S39" s="6">
        <v>16.399999999999999</v>
      </c>
      <c r="T39" s="16">
        <v>0</v>
      </c>
    </row>
    <row r="40" spans="1:25" x14ac:dyDescent="0.3">
      <c r="A40" s="7">
        <v>39</v>
      </c>
      <c r="B40" s="6">
        <v>73.099999999999994</v>
      </c>
      <c r="C40" s="6">
        <v>9.8000000000000007</v>
      </c>
      <c r="D40" s="16">
        <v>1</v>
      </c>
      <c r="E40" s="25">
        <f t="shared" si="1"/>
        <v>9.8000000000000007</v>
      </c>
      <c r="F40" s="21"/>
      <c r="G40" s="17" t="s">
        <v>35</v>
      </c>
      <c r="H40" s="26">
        <v>15.670229447348419</v>
      </c>
      <c r="I40" s="26">
        <v>4.0623369479572107</v>
      </c>
      <c r="J40" s="26">
        <v>3.857442070438879</v>
      </c>
      <c r="K40" s="26">
        <v>2.5451740842103923E-4</v>
      </c>
      <c r="L40" s="26">
        <v>7.5660889784004599</v>
      </c>
      <c r="M40" s="26">
        <v>23.774369916296379</v>
      </c>
      <c r="N40" s="26">
        <v>7.5660889784004599</v>
      </c>
      <c r="O40" s="26">
        <v>23.774369916296379</v>
      </c>
      <c r="P40" s="21"/>
      <c r="Q40" s="7">
        <v>54</v>
      </c>
      <c r="R40" s="6">
        <v>93</v>
      </c>
      <c r="S40" s="6">
        <v>17</v>
      </c>
      <c r="T40" s="16">
        <v>0</v>
      </c>
    </row>
    <row r="41" spans="1:25" x14ac:dyDescent="0.3">
      <c r="A41" s="7">
        <v>40</v>
      </c>
      <c r="B41" s="6">
        <v>74.7</v>
      </c>
      <c r="C41" s="6">
        <v>15.5</v>
      </c>
      <c r="D41" s="16">
        <v>0</v>
      </c>
      <c r="E41" s="25">
        <f t="shared" si="1"/>
        <v>0</v>
      </c>
      <c r="F41" s="21"/>
      <c r="G41" s="17" t="s">
        <v>48</v>
      </c>
      <c r="H41" s="26">
        <v>0.22970629988113811</v>
      </c>
      <c r="I41" s="26">
        <v>2.8922816287917028</v>
      </c>
      <c r="J41" s="26">
        <v>7.9420447025105784E-2</v>
      </c>
      <c r="K41" s="26">
        <v>0.9369280952692538</v>
      </c>
      <c r="L41" s="26">
        <v>-5.5402376746757573</v>
      </c>
      <c r="M41" s="26">
        <v>5.9996502744380331</v>
      </c>
      <c r="N41" s="26">
        <v>-5.5402376746757573</v>
      </c>
      <c r="O41" s="26">
        <v>5.9996502744380331</v>
      </c>
      <c r="P41" s="21"/>
      <c r="Q41" s="7">
        <v>56</v>
      </c>
      <c r="R41" s="6">
        <v>97</v>
      </c>
      <c r="S41" s="6">
        <v>11.8</v>
      </c>
      <c r="T41" s="16">
        <v>0</v>
      </c>
    </row>
    <row r="42" spans="1:25" ht="19.5" thickBot="1" x14ac:dyDescent="0.35">
      <c r="A42" s="7">
        <v>41</v>
      </c>
      <c r="B42" s="6">
        <v>75</v>
      </c>
      <c r="C42" s="6">
        <v>14.5</v>
      </c>
      <c r="D42" s="16">
        <v>0</v>
      </c>
      <c r="E42" s="25">
        <f t="shared" si="1"/>
        <v>0</v>
      </c>
      <c r="F42" s="21"/>
      <c r="G42" s="19" t="s">
        <v>50</v>
      </c>
      <c r="H42" s="27">
        <v>4.8178313733139797</v>
      </c>
      <c r="I42" s="27">
        <v>0.31009144582043724</v>
      </c>
      <c r="J42" s="27">
        <v>15.536808377822238</v>
      </c>
      <c r="K42" s="27">
        <v>3.1854056809433412E-24</v>
      </c>
      <c r="L42" s="27">
        <v>4.1992158652105243</v>
      </c>
      <c r="M42" s="27">
        <v>5.4364468814174352</v>
      </c>
      <c r="N42" s="27">
        <v>4.1992158652105243</v>
      </c>
      <c r="O42" s="27">
        <v>5.4364468814174352</v>
      </c>
      <c r="P42" s="21"/>
      <c r="Q42" s="7">
        <v>57</v>
      </c>
      <c r="R42" s="6">
        <v>97</v>
      </c>
      <c r="S42" s="6">
        <v>15</v>
      </c>
      <c r="T42" s="16">
        <v>0</v>
      </c>
    </row>
    <row r="43" spans="1:25" x14ac:dyDescent="0.3">
      <c r="A43" s="7">
        <v>42</v>
      </c>
      <c r="B43" s="6">
        <v>76</v>
      </c>
      <c r="C43" s="6">
        <v>12</v>
      </c>
      <c r="D43" s="16">
        <v>1</v>
      </c>
      <c r="E43" s="25">
        <f t="shared" si="1"/>
        <v>12</v>
      </c>
      <c r="F43" s="21"/>
      <c r="P43" s="21"/>
      <c r="Q43" s="7">
        <v>59</v>
      </c>
      <c r="R43" s="6">
        <v>98</v>
      </c>
      <c r="S43" s="6">
        <v>13.5</v>
      </c>
      <c r="T43" s="16">
        <v>0</v>
      </c>
    </row>
    <row r="44" spans="1:25" ht="25.5" x14ac:dyDescent="0.3">
      <c r="A44" s="7">
        <v>43</v>
      </c>
      <c r="B44" s="6">
        <v>79</v>
      </c>
      <c r="C44" s="6">
        <v>11</v>
      </c>
      <c r="D44" s="16">
        <v>0</v>
      </c>
      <c r="E44" s="25">
        <f t="shared" si="1"/>
        <v>0</v>
      </c>
      <c r="F44" s="21"/>
      <c r="G44" s="114" t="s">
        <v>53</v>
      </c>
      <c r="H44" s="114"/>
      <c r="I44" s="114"/>
      <c r="J44" s="114"/>
      <c r="K44" s="114"/>
      <c r="L44" s="114"/>
      <c r="M44" s="114"/>
      <c r="N44" s="114"/>
      <c r="O44" s="114"/>
      <c r="P44" s="21"/>
      <c r="Q44" s="7">
        <v>60</v>
      </c>
      <c r="R44" s="6">
        <v>101</v>
      </c>
      <c r="S44" s="6">
        <v>19</v>
      </c>
      <c r="T44" s="16">
        <v>0</v>
      </c>
    </row>
    <row r="45" spans="1:25" x14ac:dyDescent="0.3">
      <c r="A45" s="7">
        <v>44</v>
      </c>
      <c r="B45" s="6">
        <v>79</v>
      </c>
      <c r="C45" s="6">
        <v>11.5</v>
      </c>
      <c r="D45" s="16">
        <v>0</v>
      </c>
      <c r="E45" s="25">
        <f t="shared" si="1"/>
        <v>0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7">
        <v>61</v>
      </c>
      <c r="R45" s="6">
        <v>101.4</v>
      </c>
      <c r="S45" s="6">
        <v>17</v>
      </c>
      <c r="T45" s="16">
        <v>0</v>
      </c>
    </row>
    <row r="46" spans="1:25" x14ac:dyDescent="0.3">
      <c r="A46" s="7">
        <v>45</v>
      </c>
      <c r="B46" s="6">
        <v>79</v>
      </c>
      <c r="C46" s="6">
        <v>11.5</v>
      </c>
      <c r="D46" s="16">
        <v>0</v>
      </c>
      <c r="E46" s="25">
        <f t="shared" si="1"/>
        <v>0</v>
      </c>
      <c r="F46" s="21"/>
      <c r="G46" s="17" t="s">
        <v>24</v>
      </c>
      <c r="H46" s="17"/>
      <c r="I46" s="17"/>
      <c r="J46" s="17"/>
      <c r="K46" s="17"/>
      <c r="L46" s="17"/>
      <c r="M46" s="17"/>
      <c r="N46" s="17"/>
      <c r="O46" s="17"/>
      <c r="P46" s="21"/>
      <c r="Q46" s="7">
        <v>63</v>
      </c>
      <c r="R46" s="6">
        <v>105</v>
      </c>
      <c r="S46" s="6">
        <v>19.3</v>
      </c>
      <c r="T46" s="16">
        <v>0</v>
      </c>
    </row>
    <row r="47" spans="1:25" ht="19.5" thickBot="1" x14ac:dyDescent="0.35">
      <c r="A47" s="7">
        <v>46</v>
      </c>
      <c r="B47" s="6">
        <v>79.7</v>
      </c>
      <c r="C47" s="6">
        <v>13.3</v>
      </c>
      <c r="D47" s="16">
        <v>0</v>
      </c>
      <c r="E47" s="25">
        <f t="shared" si="1"/>
        <v>0</v>
      </c>
      <c r="F47" s="21"/>
      <c r="G47" s="17"/>
      <c r="H47" s="17"/>
      <c r="I47" s="17"/>
      <c r="J47" s="17"/>
      <c r="K47" s="17"/>
      <c r="L47" s="17"/>
      <c r="M47" s="17"/>
      <c r="N47" s="17"/>
      <c r="O47" s="17"/>
      <c r="P47" s="21"/>
      <c r="Q47" s="7">
        <v>66</v>
      </c>
      <c r="R47" s="6">
        <v>111</v>
      </c>
      <c r="S47" s="6">
        <v>20.8</v>
      </c>
      <c r="T47" s="16">
        <v>0</v>
      </c>
    </row>
    <row r="48" spans="1:25" x14ac:dyDescent="0.3">
      <c r="A48" s="7">
        <v>47</v>
      </c>
      <c r="B48" s="6">
        <v>80</v>
      </c>
      <c r="C48" s="6">
        <v>14</v>
      </c>
      <c r="D48" s="16">
        <v>0</v>
      </c>
      <c r="E48" s="25">
        <f t="shared" si="1"/>
        <v>0</v>
      </c>
      <c r="F48" s="21"/>
      <c r="G48" s="18" t="s">
        <v>25</v>
      </c>
      <c r="H48" s="18"/>
      <c r="I48" s="17"/>
      <c r="J48" s="17"/>
      <c r="K48" s="17"/>
      <c r="L48" s="17"/>
      <c r="M48" s="17"/>
      <c r="N48" s="17"/>
      <c r="O48" s="17"/>
      <c r="P48" s="21"/>
      <c r="Q48" s="7">
        <v>69</v>
      </c>
      <c r="R48" s="6">
        <v>115</v>
      </c>
      <c r="S48" s="6">
        <v>22.8</v>
      </c>
      <c r="T48" s="16">
        <v>0</v>
      </c>
    </row>
    <row r="49" spans="1:20" x14ac:dyDescent="0.3">
      <c r="A49" s="7">
        <v>48</v>
      </c>
      <c r="B49" s="6">
        <v>81.400000000000006</v>
      </c>
      <c r="C49" s="6">
        <v>14</v>
      </c>
      <c r="D49" s="16">
        <v>0</v>
      </c>
      <c r="E49" s="25">
        <f t="shared" si="1"/>
        <v>0</v>
      </c>
      <c r="F49" s="21"/>
      <c r="G49" s="17" t="s">
        <v>26</v>
      </c>
      <c r="H49" s="26">
        <v>0.91256133606450562</v>
      </c>
      <c r="I49" s="17"/>
      <c r="J49" s="17"/>
      <c r="K49" s="17"/>
      <c r="L49" s="17"/>
      <c r="M49" s="17"/>
      <c r="N49" s="17"/>
      <c r="O49" s="17"/>
      <c r="P49" s="21"/>
      <c r="Q49" s="7">
        <v>71</v>
      </c>
      <c r="R49" s="6">
        <v>120</v>
      </c>
      <c r="S49" s="6">
        <v>18.5</v>
      </c>
      <c r="T49" s="16">
        <v>0</v>
      </c>
    </row>
    <row r="50" spans="1:20" x14ac:dyDescent="0.3">
      <c r="A50" s="7">
        <v>49</v>
      </c>
      <c r="B50" s="6">
        <v>84</v>
      </c>
      <c r="C50" s="6">
        <v>9.8000000000000007</v>
      </c>
      <c r="D50" s="16">
        <v>0</v>
      </c>
      <c r="E50" s="25">
        <f t="shared" si="1"/>
        <v>0</v>
      </c>
      <c r="F50" s="21"/>
      <c r="G50" s="17" t="s">
        <v>27</v>
      </c>
      <c r="H50" s="26">
        <v>0.83276819207983555</v>
      </c>
      <c r="I50" s="17"/>
      <c r="J50" s="17"/>
      <c r="K50" s="17"/>
      <c r="L50" s="17"/>
      <c r="M50" s="17"/>
      <c r="N50" s="17"/>
      <c r="O50" s="17"/>
      <c r="P50" s="21"/>
    </row>
    <row r="51" spans="1:20" x14ac:dyDescent="0.3">
      <c r="A51" s="7">
        <v>50</v>
      </c>
      <c r="B51" s="6">
        <v>85</v>
      </c>
      <c r="C51" s="6">
        <v>12.4</v>
      </c>
      <c r="D51" s="16">
        <v>1</v>
      </c>
      <c r="E51" s="25">
        <f t="shared" si="1"/>
        <v>12.4</v>
      </c>
      <c r="F51" s="21"/>
      <c r="G51" s="17" t="s">
        <v>28</v>
      </c>
      <c r="H51" s="26">
        <v>0.82878648236745056</v>
      </c>
      <c r="I51" s="17"/>
      <c r="J51" s="17"/>
      <c r="K51" s="17"/>
      <c r="L51" s="17"/>
      <c r="M51" s="17"/>
      <c r="N51" s="17"/>
      <c r="O51" s="17"/>
      <c r="P51" s="21"/>
    </row>
    <row r="52" spans="1:20" x14ac:dyDescent="0.3">
      <c r="A52" s="7">
        <v>51</v>
      </c>
      <c r="B52" s="6">
        <v>86</v>
      </c>
      <c r="C52" s="6">
        <v>16.5</v>
      </c>
      <c r="D52" s="16">
        <v>0</v>
      </c>
      <c r="E52" s="25">
        <f t="shared" si="1"/>
        <v>0</v>
      </c>
      <c r="F52" s="21"/>
      <c r="G52" s="17" t="s">
        <v>29</v>
      </c>
      <c r="H52" s="26">
        <v>9.3069028991534939</v>
      </c>
      <c r="I52" s="17"/>
      <c r="J52" s="17"/>
      <c r="K52" s="17"/>
      <c r="L52" s="17"/>
      <c r="M52" s="17"/>
      <c r="N52" s="17"/>
      <c r="O52" s="17"/>
      <c r="P52" s="21"/>
    </row>
    <row r="53" spans="1:20" ht="19.5" thickBot="1" x14ac:dyDescent="0.35">
      <c r="A53" s="7">
        <v>52</v>
      </c>
      <c r="B53" s="6">
        <v>90</v>
      </c>
      <c r="C53" s="6">
        <v>16.399999999999999</v>
      </c>
      <c r="D53" s="16">
        <v>0</v>
      </c>
      <c r="E53" s="25">
        <f t="shared" si="1"/>
        <v>0</v>
      </c>
      <c r="F53" s="21"/>
      <c r="G53" s="19" t="s">
        <v>30</v>
      </c>
      <c r="H53" s="28">
        <v>44</v>
      </c>
      <c r="I53" s="17"/>
      <c r="J53" s="17"/>
      <c r="K53" s="17"/>
      <c r="L53" s="17"/>
      <c r="M53" s="17"/>
      <c r="N53" s="17"/>
      <c r="O53" s="17"/>
      <c r="P53" s="21"/>
    </row>
    <row r="54" spans="1:20" x14ac:dyDescent="0.3">
      <c r="A54" s="7">
        <v>53</v>
      </c>
      <c r="B54" s="6">
        <v>92</v>
      </c>
      <c r="C54" s="6">
        <v>19.5</v>
      </c>
      <c r="D54" s="16">
        <v>1</v>
      </c>
      <c r="E54" s="25">
        <f t="shared" si="1"/>
        <v>19.5</v>
      </c>
      <c r="F54" s="21"/>
      <c r="G54" s="17"/>
      <c r="H54" s="17"/>
      <c r="I54" s="17"/>
      <c r="J54" s="17"/>
      <c r="K54" s="17"/>
      <c r="L54" s="17"/>
      <c r="M54" s="17"/>
      <c r="N54" s="17"/>
      <c r="O54" s="17"/>
      <c r="P54" s="21"/>
    </row>
    <row r="55" spans="1:20" ht="19.5" thickBot="1" x14ac:dyDescent="0.35">
      <c r="A55" s="7">
        <v>54</v>
      </c>
      <c r="B55" s="6">
        <v>93</v>
      </c>
      <c r="C55" s="6">
        <v>17</v>
      </c>
      <c r="D55" s="16">
        <v>0</v>
      </c>
      <c r="E55" s="25">
        <f t="shared" si="1"/>
        <v>0</v>
      </c>
      <c r="F55" s="21"/>
      <c r="G55" s="17" t="s">
        <v>31</v>
      </c>
      <c r="H55" s="17"/>
      <c r="I55" s="17"/>
      <c r="J55" s="17"/>
      <c r="K55" s="17"/>
      <c r="L55" s="17"/>
      <c r="M55" s="17"/>
      <c r="N55" s="17"/>
      <c r="O55" s="17"/>
      <c r="P55" s="21"/>
    </row>
    <row r="56" spans="1:20" x14ac:dyDescent="0.3">
      <c r="A56" s="7">
        <v>55</v>
      </c>
      <c r="B56" s="6">
        <v>95</v>
      </c>
      <c r="C56" s="6">
        <v>12.3</v>
      </c>
      <c r="D56" s="16">
        <v>1</v>
      </c>
      <c r="E56" s="25">
        <f t="shared" si="1"/>
        <v>12.3</v>
      </c>
      <c r="F56" s="21"/>
      <c r="G56" s="20"/>
      <c r="H56" s="20" t="s">
        <v>36</v>
      </c>
      <c r="I56" s="20" t="s">
        <v>37</v>
      </c>
      <c r="J56" s="20" t="s">
        <v>38</v>
      </c>
      <c r="K56" s="20" t="s">
        <v>39</v>
      </c>
      <c r="L56" s="20" t="s">
        <v>40</v>
      </c>
      <c r="M56" s="17"/>
      <c r="N56" s="17"/>
      <c r="O56" s="17"/>
      <c r="P56" s="21"/>
    </row>
    <row r="57" spans="1:20" x14ac:dyDescent="0.3">
      <c r="A57" s="7">
        <v>56</v>
      </c>
      <c r="B57" s="6">
        <v>97</v>
      </c>
      <c r="C57" s="6">
        <v>11.8</v>
      </c>
      <c r="D57" s="16">
        <v>0</v>
      </c>
      <c r="E57" s="25">
        <f t="shared" si="1"/>
        <v>0</v>
      </c>
      <c r="F57" s="21"/>
      <c r="G57" s="17" t="s">
        <v>32</v>
      </c>
      <c r="H57" s="17">
        <v>1</v>
      </c>
      <c r="I57" s="17">
        <v>18116.107953880586</v>
      </c>
      <c r="J57" s="17">
        <v>18116.107953880586</v>
      </c>
      <c r="K57" s="17">
        <v>209.14839409049836</v>
      </c>
      <c r="L57" s="17">
        <v>6.5343741513079875E-18</v>
      </c>
      <c r="M57" s="17"/>
      <c r="N57" s="17"/>
      <c r="O57" s="17"/>
      <c r="P57" s="21"/>
    </row>
    <row r="58" spans="1:20" x14ac:dyDescent="0.3">
      <c r="A58" s="7">
        <v>57</v>
      </c>
      <c r="B58" s="6">
        <v>97</v>
      </c>
      <c r="C58" s="6">
        <v>15</v>
      </c>
      <c r="D58" s="16">
        <v>0</v>
      </c>
      <c r="E58" s="25">
        <f t="shared" si="1"/>
        <v>0</v>
      </c>
      <c r="F58" s="21"/>
      <c r="G58" s="17" t="s">
        <v>33</v>
      </c>
      <c r="H58" s="17">
        <v>42</v>
      </c>
      <c r="I58" s="17">
        <v>3637.974546119412</v>
      </c>
      <c r="J58" s="17">
        <v>86.618441574271714</v>
      </c>
      <c r="K58" s="17"/>
      <c r="L58" s="17"/>
      <c r="M58" s="17"/>
      <c r="N58" s="17"/>
      <c r="O58" s="17"/>
      <c r="P58" s="21"/>
    </row>
    <row r="59" spans="1:20" ht="19.5" thickBot="1" x14ac:dyDescent="0.35">
      <c r="A59" s="7">
        <v>58</v>
      </c>
      <c r="B59" s="6">
        <v>97.5</v>
      </c>
      <c r="C59" s="6">
        <v>21.5</v>
      </c>
      <c r="D59" s="16">
        <v>1</v>
      </c>
      <c r="E59" s="25">
        <f t="shared" si="1"/>
        <v>21.5</v>
      </c>
      <c r="F59" s="21"/>
      <c r="G59" s="19" t="s">
        <v>34</v>
      </c>
      <c r="H59" s="19">
        <v>43</v>
      </c>
      <c r="I59" s="19">
        <v>21754.082499999997</v>
      </c>
      <c r="J59" s="19"/>
      <c r="K59" s="19"/>
      <c r="L59" s="19"/>
      <c r="M59" s="17"/>
      <c r="N59" s="17"/>
      <c r="O59" s="17"/>
      <c r="P59" s="21"/>
    </row>
    <row r="60" spans="1:20" ht="19.5" thickBot="1" x14ac:dyDescent="0.35">
      <c r="A60" s="7">
        <v>59</v>
      </c>
      <c r="B60" s="6">
        <v>98</v>
      </c>
      <c r="C60" s="6">
        <v>13.5</v>
      </c>
      <c r="D60" s="16">
        <v>0</v>
      </c>
      <c r="E60" s="25">
        <f t="shared" si="1"/>
        <v>0</v>
      </c>
      <c r="F60" s="21"/>
      <c r="G60" s="17"/>
      <c r="H60" s="17"/>
      <c r="I60" s="17"/>
      <c r="J60" s="17"/>
      <c r="K60" s="17"/>
      <c r="L60" s="17"/>
      <c r="M60" s="17"/>
      <c r="N60" s="17"/>
      <c r="O60" s="17"/>
      <c r="P60" s="21"/>
    </row>
    <row r="61" spans="1:20" x14ac:dyDescent="0.3">
      <c r="A61" s="7">
        <v>60</v>
      </c>
      <c r="B61" s="6">
        <v>101</v>
      </c>
      <c r="C61" s="6">
        <v>19</v>
      </c>
      <c r="D61" s="16">
        <v>0</v>
      </c>
      <c r="E61" s="25">
        <f t="shared" si="1"/>
        <v>0</v>
      </c>
      <c r="F61" s="21"/>
      <c r="G61" s="20"/>
      <c r="H61" s="20" t="s">
        <v>41</v>
      </c>
      <c r="I61" s="20" t="s">
        <v>29</v>
      </c>
      <c r="J61" s="20" t="s">
        <v>42</v>
      </c>
      <c r="K61" s="20" t="s">
        <v>43</v>
      </c>
      <c r="L61" s="20" t="s">
        <v>44</v>
      </c>
      <c r="M61" s="20" t="s">
        <v>45</v>
      </c>
      <c r="N61" s="20" t="s">
        <v>46</v>
      </c>
      <c r="O61" s="20" t="s">
        <v>47</v>
      </c>
      <c r="P61" s="21"/>
    </row>
    <row r="62" spans="1:20" x14ac:dyDescent="0.3">
      <c r="A62" s="7">
        <v>61</v>
      </c>
      <c r="B62" s="6">
        <v>101.4</v>
      </c>
      <c r="C62" s="6">
        <v>17</v>
      </c>
      <c r="D62" s="16">
        <v>0</v>
      </c>
      <c r="E62" s="25">
        <f t="shared" si="1"/>
        <v>0</v>
      </c>
      <c r="F62" s="21"/>
      <c r="G62" s="17" t="s">
        <v>35</v>
      </c>
      <c r="H62" s="26">
        <v>19.466605762883255</v>
      </c>
      <c r="I62" s="26">
        <v>3.9085912362595376</v>
      </c>
      <c r="J62" s="26">
        <v>4.9804660007150048</v>
      </c>
      <c r="K62" s="26">
        <v>1.134237738443649E-5</v>
      </c>
      <c r="L62" s="26">
        <v>11.578749305191351</v>
      </c>
      <c r="M62" s="26">
        <v>27.354462220575158</v>
      </c>
      <c r="N62" s="26">
        <v>11.578749305191351</v>
      </c>
      <c r="O62" s="26">
        <v>27.354462220575158</v>
      </c>
      <c r="P62" s="21"/>
    </row>
    <row r="63" spans="1:20" ht="19.5" thickBot="1" x14ac:dyDescent="0.35">
      <c r="A63" s="7">
        <v>62</v>
      </c>
      <c r="B63" s="6">
        <v>103</v>
      </c>
      <c r="C63" s="6">
        <v>16.3</v>
      </c>
      <c r="D63" s="16">
        <v>1</v>
      </c>
      <c r="E63" s="25">
        <f t="shared" si="1"/>
        <v>16.3</v>
      </c>
      <c r="F63" s="21"/>
      <c r="G63" s="19" t="s">
        <v>48</v>
      </c>
      <c r="H63" s="27">
        <v>4.4944227423681262</v>
      </c>
      <c r="I63" s="27">
        <v>0.31077541302649653</v>
      </c>
      <c r="J63" s="27">
        <v>14.46196370105036</v>
      </c>
      <c r="K63" s="27">
        <v>6.5343741513080337E-18</v>
      </c>
      <c r="L63" s="27">
        <v>3.8672525676535083</v>
      </c>
      <c r="M63" s="27">
        <v>5.1215929170827446</v>
      </c>
      <c r="N63" s="27">
        <v>3.8672525676535083</v>
      </c>
      <c r="O63" s="27">
        <v>5.1215929170827446</v>
      </c>
      <c r="P63" s="21"/>
    </row>
    <row r="64" spans="1:20" x14ac:dyDescent="0.3">
      <c r="A64" s="7">
        <v>63</v>
      </c>
      <c r="B64" s="6">
        <v>105</v>
      </c>
      <c r="C64" s="6">
        <v>19.3</v>
      </c>
      <c r="D64" s="16">
        <v>0</v>
      </c>
      <c r="E64" s="25">
        <f t="shared" si="1"/>
        <v>0</v>
      </c>
      <c r="F64" s="21"/>
      <c r="G64" s="17"/>
      <c r="H64" s="17"/>
      <c r="I64" s="17"/>
      <c r="J64" s="17"/>
      <c r="K64" s="17"/>
      <c r="L64" s="17"/>
      <c r="M64" s="17"/>
      <c r="N64" s="17"/>
      <c r="O64" s="17"/>
      <c r="P64" s="21"/>
    </row>
    <row r="65" spans="1:16" x14ac:dyDescent="0.3">
      <c r="A65" s="7">
        <v>64</v>
      </c>
      <c r="B65" s="6">
        <v>105</v>
      </c>
      <c r="C65" s="6">
        <v>15</v>
      </c>
      <c r="D65" s="16">
        <v>1</v>
      </c>
      <c r="E65" s="25">
        <f t="shared" si="1"/>
        <v>15</v>
      </c>
      <c r="F65" s="21"/>
      <c r="G65" s="17"/>
      <c r="H65" s="17"/>
      <c r="I65" s="17"/>
      <c r="J65" s="17"/>
      <c r="K65" s="17"/>
      <c r="L65" s="17"/>
      <c r="M65" s="17"/>
      <c r="N65" s="17"/>
      <c r="O65" s="17"/>
      <c r="P65" s="21"/>
    </row>
    <row r="66" spans="1:16" x14ac:dyDescent="0.3">
      <c r="A66" s="7">
        <v>65</v>
      </c>
      <c r="B66" s="6">
        <v>110.4</v>
      </c>
      <c r="C66" s="6">
        <v>13.7</v>
      </c>
      <c r="D66" s="16">
        <v>1</v>
      </c>
      <c r="E66" s="25">
        <f t="shared" ref="E66:E73" si="2">C66*D66</f>
        <v>13.7</v>
      </c>
      <c r="F66" s="21"/>
      <c r="G66" s="17"/>
      <c r="H66" s="17"/>
      <c r="I66" s="17"/>
      <c r="J66" s="17"/>
      <c r="K66" s="17"/>
      <c r="L66" s="17"/>
      <c r="M66" s="17"/>
      <c r="N66" s="17"/>
      <c r="O66" s="17"/>
      <c r="P66" s="21"/>
    </row>
    <row r="67" spans="1:16" ht="25.5" x14ac:dyDescent="0.3">
      <c r="A67" s="7">
        <v>66</v>
      </c>
      <c r="B67" s="6">
        <v>111</v>
      </c>
      <c r="C67" s="6">
        <v>20.8</v>
      </c>
      <c r="D67" s="16">
        <v>0</v>
      </c>
      <c r="E67" s="25">
        <f t="shared" si="2"/>
        <v>0</v>
      </c>
      <c r="F67" s="21"/>
      <c r="G67" s="114" t="s">
        <v>54</v>
      </c>
      <c r="H67" s="114"/>
      <c r="I67" s="114"/>
      <c r="J67" s="114"/>
      <c r="K67" s="114"/>
      <c r="L67" s="114"/>
      <c r="M67" s="114"/>
      <c r="N67" s="114"/>
      <c r="O67" s="114"/>
      <c r="P67" s="21"/>
    </row>
    <row r="68" spans="1:16" x14ac:dyDescent="0.3">
      <c r="A68" s="7">
        <v>67</v>
      </c>
      <c r="B68" s="6">
        <v>112</v>
      </c>
      <c r="C68" s="6">
        <v>19</v>
      </c>
      <c r="D68" s="16">
        <v>1</v>
      </c>
      <c r="E68" s="25">
        <f t="shared" si="2"/>
        <v>19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x14ac:dyDescent="0.3">
      <c r="A69" s="7">
        <v>68</v>
      </c>
      <c r="B69" s="6">
        <v>114</v>
      </c>
      <c r="C69" s="6">
        <v>21.4</v>
      </c>
      <c r="D69" s="16">
        <v>1</v>
      </c>
      <c r="E69" s="25">
        <f t="shared" si="2"/>
        <v>21.4</v>
      </c>
      <c r="F69" s="21"/>
      <c r="G69" s="17" t="s">
        <v>24</v>
      </c>
      <c r="H69" s="17"/>
      <c r="I69" s="17"/>
      <c r="J69" s="17"/>
      <c r="K69" s="17"/>
      <c r="L69" s="17"/>
      <c r="M69" s="17"/>
      <c r="N69" s="17"/>
      <c r="O69" s="17"/>
      <c r="P69" s="21"/>
    </row>
    <row r="70" spans="1:16" ht="19.5" thickBot="1" x14ac:dyDescent="0.35">
      <c r="A70" s="7">
        <v>69</v>
      </c>
      <c r="B70" s="6">
        <v>115</v>
      </c>
      <c r="C70" s="6">
        <v>22.8</v>
      </c>
      <c r="D70" s="16">
        <v>0</v>
      </c>
      <c r="E70" s="25">
        <f t="shared" si="2"/>
        <v>0</v>
      </c>
      <c r="F70" s="21"/>
      <c r="G70" s="17"/>
      <c r="H70" s="17"/>
      <c r="I70" s="17"/>
      <c r="J70" s="17"/>
      <c r="K70" s="17"/>
      <c r="L70" s="17"/>
      <c r="M70" s="17"/>
      <c r="N70" s="17"/>
      <c r="O70" s="17"/>
      <c r="P70" s="21"/>
    </row>
    <row r="71" spans="1:16" x14ac:dyDescent="0.3">
      <c r="A71" s="7">
        <v>70</v>
      </c>
      <c r="B71" s="6">
        <v>119.8</v>
      </c>
      <c r="C71" s="6">
        <v>15.5</v>
      </c>
      <c r="D71" s="16">
        <v>1</v>
      </c>
      <c r="E71" s="25">
        <f t="shared" si="2"/>
        <v>15.5</v>
      </c>
      <c r="F71" s="21"/>
      <c r="G71" s="18" t="s">
        <v>25</v>
      </c>
      <c r="H71" s="18"/>
      <c r="I71" s="17"/>
      <c r="J71" s="17"/>
      <c r="K71" s="17"/>
      <c r="L71" s="17"/>
      <c r="M71" s="17"/>
      <c r="N71" s="17"/>
      <c r="O71" s="17"/>
      <c r="P71" s="21"/>
    </row>
    <row r="72" spans="1:16" x14ac:dyDescent="0.3">
      <c r="A72" s="7">
        <v>71</v>
      </c>
      <c r="B72" s="6">
        <v>120</v>
      </c>
      <c r="C72" s="6">
        <v>18.5</v>
      </c>
      <c r="D72" s="16">
        <v>0</v>
      </c>
      <c r="E72" s="25">
        <f t="shared" si="2"/>
        <v>0</v>
      </c>
      <c r="F72" s="21"/>
      <c r="G72" s="17" t="s">
        <v>26</v>
      </c>
      <c r="H72" s="26">
        <v>0.85747617827334088</v>
      </c>
      <c r="I72" s="17"/>
      <c r="J72" s="17"/>
      <c r="K72" s="17"/>
      <c r="L72" s="17"/>
      <c r="M72" s="17"/>
      <c r="N72" s="17"/>
      <c r="O72" s="17"/>
      <c r="P72" s="21"/>
    </row>
    <row r="73" spans="1:16" x14ac:dyDescent="0.3">
      <c r="A73" s="7">
        <v>72</v>
      </c>
      <c r="B73" s="6">
        <v>121</v>
      </c>
      <c r="C73" s="6">
        <v>17.5</v>
      </c>
      <c r="D73" s="16">
        <v>1</v>
      </c>
      <c r="E73" s="25">
        <f t="shared" si="2"/>
        <v>17.5</v>
      </c>
      <c r="F73" s="21"/>
      <c r="G73" s="17" t="s">
        <v>27</v>
      </c>
      <c r="H73" s="26">
        <v>0.73526539630625432</v>
      </c>
      <c r="I73" s="17"/>
      <c r="J73" s="17"/>
      <c r="K73" s="17"/>
      <c r="L73" s="17"/>
      <c r="M73" s="17"/>
      <c r="N73" s="17"/>
      <c r="O73" s="17"/>
      <c r="P73" s="21"/>
    </row>
    <row r="74" spans="1:16" x14ac:dyDescent="0.3">
      <c r="F74" s="21"/>
      <c r="G74" s="17" t="s">
        <v>28</v>
      </c>
      <c r="H74" s="26">
        <v>0.72508329616418721</v>
      </c>
      <c r="I74" s="17"/>
      <c r="J74" s="17"/>
      <c r="K74" s="17"/>
      <c r="L74" s="17"/>
      <c r="M74" s="17"/>
      <c r="N74" s="17"/>
      <c r="O74" s="17"/>
      <c r="P74" s="21"/>
    </row>
    <row r="75" spans="1:16" x14ac:dyDescent="0.3">
      <c r="F75" s="21"/>
      <c r="G75" s="17" t="s">
        <v>29</v>
      </c>
      <c r="H75" s="26">
        <v>15.192263776852988</v>
      </c>
      <c r="I75" s="17"/>
      <c r="J75" s="17"/>
      <c r="K75" s="17"/>
      <c r="L75" s="17"/>
      <c r="M75" s="17"/>
      <c r="N75" s="17"/>
      <c r="O75" s="17"/>
      <c r="P75" s="21"/>
    </row>
    <row r="76" spans="1:16" ht="19.5" thickBot="1" x14ac:dyDescent="0.35">
      <c r="F76" s="21"/>
      <c r="G76" s="19" t="s">
        <v>30</v>
      </c>
      <c r="H76" s="19">
        <v>28</v>
      </c>
      <c r="I76" s="17"/>
      <c r="J76" s="17"/>
      <c r="K76" s="17"/>
      <c r="L76" s="17"/>
      <c r="M76" s="17"/>
      <c r="N76" s="17"/>
      <c r="O76" s="17"/>
      <c r="P76" s="21"/>
    </row>
    <row r="77" spans="1:16" x14ac:dyDescent="0.3">
      <c r="F77" s="21"/>
      <c r="G77" s="17"/>
      <c r="H77" s="17"/>
      <c r="I77" s="17"/>
      <c r="J77" s="17"/>
      <c r="K77" s="17"/>
      <c r="L77" s="17"/>
      <c r="M77" s="17"/>
      <c r="N77" s="17"/>
      <c r="O77" s="17"/>
      <c r="P77" s="21"/>
    </row>
    <row r="78" spans="1:16" ht="19.5" thickBot="1" x14ac:dyDescent="0.35">
      <c r="F78" s="21"/>
      <c r="G78" s="17" t="s">
        <v>31</v>
      </c>
      <c r="H78" s="17"/>
      <c r="I78" s="17"/>
      <c r="J78" s="17"/>
      <c r="K78" s="17"/>
      <c r="L78" s="17"/>
      <c r="M78" s="17"/>
      <c r="N78" s="17"/>
      <c r="O78" s="17"/>
      <c r="P78" s="21"/>
    </row>
    <row r="79" spans="1:16" x14ac:dyDescent="0.3">
      <c r="F79" s="21"/>
      <c r="G79" s="20"/>
      <c r="H79" s="20" t="s">
        <v>36</v>
      </c>
      <c r="I79" s="20" t="s">
        <v>37</v>
      </c>
      <c r="J79" s="20" t="s">
        <v>38</v>
      </c>
      <c r="K79" s="20" t="s">
        <v>39</v>
      </c>
      <c r="L79" s="20" t="s">
        <v>40</v>
      </c>
      <c r="M79" s="17"/>
      <c r="N79" s="17"/>
      <c r="O79" s="17"/>
      <c r="P79" s="21"/>
    </row>
    <row r="80" spans="1:16" x14ac:dyDescent="0.3">
      <c r="F80" s="21"/>
      <c r="G80" s="17" t="s">
        <v>32</v>
      </c>
      <c r="H80" s="17">
        <v>1</v>
      </c>
      <c r="I80" s="17">
        <v>16666.781726126104</v>
      </c>
      <c r="J80" s="17">
        <v>16666.781726126104</v>
      </c>
      <c r="K80" s="17">
        <v>72.21156598809317</v>
      </c>
      <c r="L80" s="17">
        <v>5.5997397669177107E-9</v>
      </c>
      <c r="M80" s="17"/>
      <c r="N80" s="17"/>
      <c r="O80" s="17"/>
      <c r="P80" s="21"/>
    </row>
    <row r="81" spans="6:16" x14ac:dyDescent="0.3">
      <c r="F81" s="21"/>
      <c r="G81" s="17" t="s">
        <v>33</v>
      </c>
      <c r="H81" s="17">
        <v>26</v>
      </c>
      <c r="I81" s="17">
        <v>6000.9268453024642</v>
      </c>
      <c r="J81" s="17">
        <v>230.80487866547941</v>
      </c>
      <c r="K81" s="17"/>
      <c r="L81" s="17"/>
      <c r="M81" s="17"/>
      <c r="N81" s="17"/>
      <c r="O81" s="17"/>
      <c r="P81" s="21"/>
    </row>
    <row r="82" spans="6:16" ht="19.5" thickBot="1" x14ac:dyDescent="0.35">
      <c r="F82" s="21"/>
      <c r="G82" s="19" t="s">
        <v>34</v>
      </c>
      <c r="H82" s="19">
        <v>27</v>
      </c>
      <c r="I82" s="19">
        <v>22667.708571428568</v>
      </c>
      <c r="J82" s="19"/>
      <c r="K82" s="19"/>
      <c r="L82" s="19"/>
      <c r="M82" s="17"/>
      <c r="N82" s="17"/>
      <c r="O82" s="17"/>
      <c r="P82" s="21"/>
    </row>
    <row r="83" spans="6:16" ht="19.5" thickBot="1" x14ac:dyDescent="0.35">
      <c r="F83" s="21"/>
      <c r="G83" s="17"/>
      <c r="H83" s="17"/>
      <c r="I83" s="17"/>
      <c r="J83" s="17"/>
      <c r="K83" s="17"/>
      <c r="L83" s="17"/>
      <c r="M83" s="17"/>
      <c r="N83" s="17"/>
      <c r="O83" s="17"/>
      <c r="P83" s="21"/>
    </row>
    <row r="84" spans="6:16" x14ac:dyDescent="0.3">
      <c r="F84" s="21"/>
      <c r="G84" s="20"/>
      <c r="H84" s="20" t="s">
        <v>41</v>
      </c>
      <c r="I84" s="20" t="s">
        <v>29</v>
      </c>
      <c r="J84" s="20" t="s">
        <v>42</v>
      </c>
      <c r="K84" s="20" t="s">
        <v>43</v>
      </c>
      <c r="L84" s="20" t="s">
        <v>44</v>
      </c>
      <c r="M84" s="20" t="s">
        <v>45</v>
      </c>
      <c r="N84" s="20" t="s">
        <v>46</v>
      </c>
      <c r="O84" s="20" t="s">
        <v>47</v>
      </c>
      <c r="P84" s="21"/>
    </row>
    <row r="85" spans="6:16" x14ac:dyDescent="0.3">
      <c r="F85" s="21"/>
      <c r="G85" s="17" t="s">
        <v>35</v>
      </c>
      <c r="H85" s="26">
        <v>10.083997587275583</v>
      </c>
      <c r="I85" s="26">
        <v>7.9457387533647532</v>
      </c>
      <c r="J85" s="26">
        <v>1.2691076185968673</v>
      </c>
      <c r="K85" s="26">
        <v>0.21564652926181505</v>
      </c>
      <c r="L85" s="26">
        <v>-6.2487023320311899</v>
      </c>
      <c r="M85" s="26">
        <v>26.416697506582356</v>
      </c>
      <c r="N85" s="26">
        <v>-6.2487023320311899</v>
      </c>
      <c r="O85" s="26">
        <v>26.416697506582356</v>
      </c>
      <c r="P85" s="21"/>
    </row>
    <row r="86" spans="6:16" ht="19.5" thickBot="1" x14ac:dyDescent="0.35">
      <c r="F86" s="21"/>
      <c r="G86" s="19" t="s">
        <v>48</v>
      </c>
      <c r="H86" s="27">
        <v>5.308184485264329</v>
      </c>
      <c r="I86" s="27">
        <v>0.62465846071898412</v>
      </c>
      <c r="J86" s="27">
        <v>8.4977388750239449</v>
      </c>
      <c r="K86" s="27">
        <v>5.5997397669176909E-9</v>
      </c>
      <c r="L86" s="27">
        <v>4.0241806301591145</v>
      </c>
      <c r="M86" s="27">
        <v>6.5921883403695434</v>
      </c>
      <c r="N86" s="27">
        <v>4.0241806301591145</v>
      </c>
      <c r="O86" s="27">
        <v>6.5921883403695434</v>
      </c>
      <c r="P86" s="21"/>
    </row>
    <row r="87" spans="6:16" x14ac:dyDescent="0.3">
      <c r="F87" s="21"/>
      <c r="G87" s="17"/>
      <c r="H87" s="17"/>
      <c r="I87" s="17"/>
      <c r="J87" s="17"/>
      <c r="K87" s="17"/>
      <c r="L87" s="17"/>
      <c r="M87" s="17"/>
      <c r="N87" s="17"/>
      <c r="O87" s="17"/>
      <c r="P87" s="21"/>
    </row>
    <row r="88" spans="6:16" ht="25.5" x14ac:dyDescent="0.35">
      <c r="F88" s="21"/>
      <c r="G88" s="113" t="s">
        <v>56</v>
      </c>
      <c r="H88" s="113"/>
      <c r="I88" s="113"/>
      <c r="J88" s="113"/>
      <c r="K88" s="113"/>
      <c r="L88" s="113"/>
      <c r="M88" s="113"/>
      <c r="N88" s="113"/>
      <c r="O88" s="113"/>
      <c r="P88" s="21"/>
    </row>
    <row r="89" spans="6:16" ht="25.5" x14ac:dyDescent="0.35">
      <c r="F89" s="21"/>
      <c r="G89" s="113" t="s">
        <v>59</v>
      </c>
      <c r="H89" s="113"/>
      <c r="I89" s="113"/>
      <c r="J89" s="113"/>
      <c r="K89" s="113"/>
      <c r="L89" s="113"/>
      <c r="M89" s="113"/>
      <c r="N89" s="113"/>
      <c r="O89" s="113"/>
      <c r="P89" s="21"/>
    </row>
    <row r="90" spans="6:16" x14ac:dyDescent="0.3">
      <c r="F90" s="24"/>
      <c r="G90" t="s">
        <v>24</v>
      </c>
      <c r="H90"/>
      <c r="I90"/>
      <c r="J90"/>
      <c r="K90"/>
      <c r="L90"/>
      <c r="M90"/>
      <c r="N90"/>
      <c r="O90"/>
      <c r="P90" s="21"/>
    </row>
    <row r="91" spans="6:16" ht="19.5" thickBot="1" x14ac:dyDescent="0.35">
      <c r="F91" s="24"/>
      <c r="G91"/>
      <c r="H91"/>
      <c r="I91"/>
      <c r="J91"/>
      <c r="K91"/>
      <c r="L91"/>
      <c r="M91"/>
      <c r="N91"/>
      <c r="O91"/>
      <c r="P91" s="21"/>
    </row>
    <row r="92" spans="6:16" x14ac:dyDescent="0.3">
      <c r="F92" s="24"/>
      <c r="G92" s="11" t="s">
        <v>25</v>
      </c>
      <c r="H92" s="11"/>
      <c r="I92"/>
      <c r="J92"/>
      <c r="K92"/>
      <c r="L92"/>
      <c r="M92"/>
      <c r="N92"/>
      <c r="O92"/>
      <c r="P92" s="21"/>
    </row>
    <row r="93" spans="6:16" x14ac:dyDescent="0.3">
      <c r="F93" s="24"/>
      <c r="G93" t="s">
        <v>26</v>
      </c>
      <c r="H93" s="5">
        <v>0.88491243278406084</v>
      </c>
      <c r="I93"/>
      <c r="J93"/>
      <c r="K93"/>
      <c r="L93"/>
      <c r="M93"/>
      <c r="N93"/>
      <c r="O93"/>
      <c r="P93" s="21"/>
    </row>
    <row r="94" spans="6:16" x14ac:dyDescent="0.3">
      <c r="F94" s="24"/>
      <c r="G94" t="s">
        <v>27</v>
      </c>
      <c r="H94" s="5">
        <v>0.78307001369580509</v>
      </c>
      <c r="I94"/>
      <c r="J94"/>
      <c r="K94"/>
      <c r="L94"/>
      <c r="M94"/>
      <c r="N94"/>
      <c r="O94"/>
      <c r="P94" s="21"/>
    </row>
    <row r="95" spans="6:16" x14ac:dyDescent="0.3">
      <c r="F95" s="24"/>
      <c r="G95" t="s">
        <v>28</v>
      </c>
      <c r="H95" s="5">
        <v>0.77349957312356121</v>
      </c>
      <c r="I95"/>
      <c r="J95"/>
      <c r="K95"/>
      <c r="L95"/>
      <c r="M95"/>
      <c r="N95"/>
      <c r="O95"/>
      <c r="P95" s="21"/>
    </row>
    <row r="96" spans="6:16" x14ac:dyDescent="0.3">
      <c r="F96" s="24"/>
      <c r="G96" t="s">
        <v>29</v>
      </c>
      <c r="H96" s="5">
        <v>11.905820000060944</v>
      </c>
      <c r="I96"/>
      <c r="J96"/>
      <c r="K96"/>
      <c r="L96"/>
      <c r="M96"/>
      <c r="N96"/>
      <c r="O96"/>
      <c r="P96" s="21"/>
    </row>
    <row r="97" spans="6:16" ht="19.5" thickBot="1" x14ac:dyDescent="0.35">
      <c r="F97" s="24"/>
      <c r="G97" s="9" t="s">
        <v>30</v>
      </c>
      <c r="H97" s="9">
        <v>72</v>
      </c>
      <c r="I97"/>
      <c r="J97"/>
      <c r="K97"/>
      <c r="L97"/>
      <c r="M97"/>
      <c r="N97"/>
      <c r="O97"/>
      <c r="P97" s="21"/>
    </row>
    <row r="98" spans="6:16" x14ac:dyDescent="0.3">
      <c r="F98" s="24"/>
      <c r="G98"/>
      <c r="H98"/>
      <c r="I98"/>
      <c r="J98"/>
      <c r="K98"/>
      <c r="L98"/>
      <c r="M98"/>
      <c r="N98"/>
      <c r="O98"/>
      <c r="P98" s="21"/>
    </row>
    <row r="99" spans="6:16" ht="19.5" thickBot="1" x14ac:dyDescent="0.35">
      <c r="F99" s="24"/>
      <c r="G99" t="s">
        <v>31</v>
      </c>
      <c r="H99"/>
      <c r="I99"/>
      <c r="J99"/>
      <c r="K99"/>
      <c r="L99"/>
      <c r="M99"/>
      <c r="N99"/>
      <c r="O99"/>
      <c r="P99" s="21"/>
    </row>
    <row r="100" spans="6:16" x14ac:dyDescent="0.3">
      <c r="F100" s="24"/>
      <c r="G100" s="10"/>
      <c r="H100" s="10" t="s">
        <v>36</v>
      </c>
      <c r="I100" s="10" t="s">
        <v>37</v>
      </c>
      <c r="J100" s="10" t="s">
        <v>38</v>
      </c>
      <c r="K100" s="10" t="s">
        <v>39</v>
      </c>
      <c r="L100" s="10" t="s">
        <v>40</v>
      </c>
      <c r="M100"/>
      <c r="N100"/>
      <c r="O100"/>
      <c r="P100" s="21"/>
    </row>
    <row r="101" spans="6:16" x14ac:dyDescent="0.3">
      <c r="F101" s="24"/>
      <c r="G101" t="s">
        <v>32</v>
      </c>
      <c r="H101">
        <v>3</v>
      </c>
      <c r="I101">
        <v>34794.335136355883</v>
      </c>
      <c r="J101">
        <v>11598.111712118627</v>
      </c>
      <c r="K101">
        <v>81.821730962611909</v>
      </c>
      <c r="L101">
        <v>1.6084709219403478E-22</v>
      </c>
      <c r="M101"/>
      <c r="N101"/>
      <c r="O101"/>
      <c r="P101" s="21"/>
    </row>
    <row r="102" spans="6:16" x14ac:dyDescent="0.3">
      <c r="F102" s="24"/>
      <c r="G102" t="s">
        <v>33</v>
      </c>
      <c r="H102">
        <v>68</v>
      </c>
      <c r="I102">
        <v>9638.9013914218795</v>
      </c>
      <c r="J102">
        <v>141.74854987385118</v>
      </c>
      <c r="K102"/>
      <c r="L102"/>
      <c r="M102"/>
      <c r="N102"/>
      <c r="O102"/>
      <c r="P102" s="21"/>
    </row>
    <row r="103" spans="6:16" ht="19.5" thickBot="1" x14ac:dyDescent="0.35">
      <c r="F103" s="24"/>
      <c r="G103" s="9" t="s">
        <v>34</v>
      </c>
      <c r="H103" s="9">
        <v>71</v>
      </c>
      <c r="I103" s="9">
        <v>44433.236527777764</v>
      </c>
      <c r="J103" s="9"/>
      <c r="K103" s="9"/>
      <c r="L103" s="9"/>
      <c r="M103"/>
      <c r="N103"/>
      <c r="O103"/>
      <c r="P103" s="21"/>
    </row>
    <row r="104" spans="6:16" ht="19.5" thickBot="1" x14ac:dyDescent="0.35">
      <c r="F104" s="24"/>
      <c r="G104"/>
      <c r="H104"/>
      <c r="I104"/>
      <c r="J104"/>
      <c r="K104"/>
      <c r="L104"/>
      <c r="M104"/>
      <c r="N104"/>
      <c r="O104"/>
      <c r="P104" s="21"/>
    </row>
    <row r="105" spans="6:16" x14ac:dyDescent="0.3">
      <c r="F105" s="24"/>
      <c r="G105" s="10"/>
      <c r="H105" s="10" t="s">
        <v>41</v>
      </c>
      <c r="I105" s="10" t="s">
        <v>29</v>
      </c>
      <c r="J105" s="10" t="s">
        <v>42</v>
      </c>
      <c r="K105" s="10" t="s">
        <v>43</v>
      </c>
      <c r="L105" s="10" t="s">
        <v>44</v>
      </c>
      <c r="M105" s="10" t="s">
        <v>45</v>
      </c>
      <c r="N105" s="10" t="s">
        <v>46</v>
      </c>
      <c r="O105" s="10" t="s">
        <v>47</v>
      </c>
      <c r="P105" s="21"/>
    </row>
    <row r="106" spans="6:16" x14ac:dyDescent="0.3">
      <c r="F106" s="24"/>
      <c r="G106" t="s">
        <v>66</v>
      </c>
      <c r="H106" s="5">
        <v>19.46660576288328</v>
      </c>
      <c r="I106" s="5">
        <v>5.0000504160147932</v>
      </c>
      <c r="J106" s="5">
        <v>3.8932818958251252</v>
      </c>
      <c r="K106" s="5">
        <v>2.2798644910381068E-4</v>
      </c>
      <c r="L106" s="5">
        <v>9.4891605021429015</v>
      </c>
      <c r="M106" s="5">
        <v>29.444051023623658</v>
      </c>
      <c r="N106" s="5">
        <v>9.4891605021429015</v>
      </c>
      <c r="O106" s="5">
        <v>29.444051023623658</v>
      </c>
      <c r="P106" s="21"/>
    </row>
    <row r="107" spans="6:16" x14ac:dyDescent="0.3">
      <c r="F107" s="24"/>
      <c r="G107" t="s">
        <v>67</v>
      </c>
      <c r="H107" s="5">
        <v>4.4944227423681244</v>
      </c>
      <c r="I107" s="5">
        <v>0.39755826057609311</v>
      </c>
      <c r="J107" s="5">
        <v>11.305066924921528</v>
      </c>
      <c r="K107" s="5">
        <v>2.8629530386776617E-17</v>
      </c>
      <c r="L107" s="5">
        <v>3.7011075849552411</v>
      </c>
      <c r="M107" s="5">
        <v>5.2877378997810078</v>
      </c>
      <c r="N107" s="5">
        <v>3.7011075849552411</v>
      </c>
      <c r="O107" s="5">
        <v>5.2877378997810078</v>
      </c>
      <c r="P107" s="21"/>
    </row>
    <row r="108" spans="6:16" x14ac:dyDescent="0.3">
      <c r="F108" s="24"/>
      <c r="G108" t="s">
        <v>11</v>
      </c>
      <c r="H108" s="5">
        <v>-9.382608175607702</v>
      </c>
      <c r="I108" s="5">
        <v>7.9859030059167484</v>
      </c>
      <c r="J108" s="5">
        <v>-1.1748963352868342</v>
      </c>
      <c r="K108" s="5">
        <v>0.24413398005193254</v>
      </c>
      <c r="L108" s="5">
        <v>-25.318229513326763</v>
      </c>
      <c r="M108" s="5">
        <v>6.553013162111359</v>
      </c>
      <c r="N108" s="5">
        <v>-25.318229513326763</v>
      </c>
      <c r="O108" s="5">
        <v>6.553013162111359</v>
      </c>
      <c r="P108" s="21"/>
    </row>
    <row r="109" spans="6:16" ht="19.5" thickBot="1" x14ac:dyDescent="0.35">
      <c r="F109" s="24"/>
      <c r="G109" s="9" t="s">
        <v>68</v>
      </c>
      <c r="H109" s="12">
        <v>0.81376174289620617</v>
      </c>
      <c r="I109" s="12">
        <v>0.63062852789924984</v>
      </c>
      <c r="J109" s="12">
        <v>1.2903979234923131</v>
      </c>
      <c r="K109" s="12">
        <v>0.2012831428736761</v>
      </c>
      <c r="L109" s="12">
        <v>-0.44463789180008451</v>
      </c>
      <c r="M109" s="12">
        <v>2.0721613775924967</v>
      </c>
      <c r="N109" s="12">
        <v>-0.44463789180008451</v>
      </c>
      <c r="O109" s="12">
        <v>2.0721613775924967</v>
      </c>
      <c r="P109" s="21"/>
    </row>
    <row r="110" spans="6:16" x14ac:dyDescent="0.3"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1"/>
    </row>
    <row r="111" spans="6:16" x14ac:dyDescent="0.3"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1"/>
    </row>
    <row r="112" spans="6:16" x14ac:dyDescent="0.3">
      <c r="G112"/>
      <c r="H112"/>
      <c r="I112"/>
      <c r="J112"/>
      <c r="K112"/>
      <c r="L112"/>
      <c r="M112"/>
      <c r="N112"/>
      <c r="O112"/>
    </row>
    <row r="114" spans="7:7" ht="26.25" x14ac:dyDescent="0.4">
      <c r="G114" s="49" t="s">
        <v>149</v>
      </c>
    </row>
  </sheetData>
  <mergeCells count="10">
    <mergeCell ref="V1:Y1"/>
    <mergeCell ref="G1:O1"/>
    <mergeCell ref="Q1:T1"/>
    <mergeCell ref="G2:O2"/>
    <mergeCell ref="G23:O23"/>
    <mergeCell ref="G89:O89"/>
    <mergeCell ref="G88:O88"/>
    <mergeCell ref="G67:O67"/>
    <mergeCell ref="G44:O44"/>
    <mergeCell ref="G22:O2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F14F-6DA6-41F0-9244-D4F3C75E7737}">
  <dimension ref="A1:AN87"/>
  <sheetViews>
    <sheetView zoomScale="70" zoomScaleNormal="70" workbookViewId="0">
      <selection activeCell="AA44" sqref="AA44:AA45"/>
    </sheetView>
  </sheetViews>
  <sheetFormatPr defaultColWidth="3.85546875" defaultRowHeight="18.75" x14ac:dyDescent="0.25"/>
  <cols>
    <col min="1" max="1" width="3.85546875" style="23" bestFit="1" customWidth="1"/>
    <col min="2" max="2" width="11.85546875" style="23" customWidth="1"/>
    <col min="3" max="3" width="10.140625" style="23" bestFit="1" customWidth="1"/>
    <col min="4" max="4" width="2.5703125" style="23" bestFit="1" customWidth="1"/>
    <col min="5" max="5" width="3.85546875" style="23" bestFit="1" customWidth="1"/>
    <col min="6" max="9" width="3.85546875" style="23"/>
    <col min="10" max="10" width="2.5703125" style="23" bestFit="1" customWidth="1"/>
    <col min="11" max="11" width="3.7109375" style="23" bestFit="1" customWidth="1"/>
    <col min="12" max="14" width="3.85546875" style="23"/>
    <col min="15" max="15" width="5.140625" style="23" bestFit="1" customWidth="1"/>
    <col min="16" max="16" width="3.85546875" style="23"/>
    <col min="17" max="17" width="2.5703125" style="23" bestFit="1" customWidth="1"/>
    <col min="18" max="25" width="3.85546875" style="23"/>
    <col min="26" max="26" width="33.5703125" style="23" bestFit="1" customWidth="1"/>
    <col min="27" max="27" width="21.140625" style="23" bestFit="1" customWidth="1"/>
    <col min="28" max="28" width="29" style="23" bestFit="1" customWidth="1"/>
    <col min="29" max="29" width="19.28515625" style="23" bestFit="1" customWidth="1"/>
    <col min="30" max="30" width="15.5703125" style="23" bestFit="1" customWidth="1"/>
    <col min="31" max="31" width="19" style="23" bestFit="1" customWidth="1"/>
    <col min="32" max="32" width="17.42578125" style="23" bestFit="1" customWidth="1"/>
    <col min="33" max="33" width="20.140625" style="23" bestFit="1" customWidth="1"/>
    <col min="34" max="34" width="19.7109375" style="23" bestFit="1" customWidth="1"/>
    <col min="35" max="38" width="3.85546875" style="23"/>
    <col min="39" max="39" width="52.28515625" style="23" hidden="1" customWidth="1"/>
    <col min="40" max="40" width="9.7109375" style="23" hidden="1" customWidth="1"/>
    <col min="41" max="16384" width="3.85546875" style="23"/>
  </cols>
  <sheetData>
    <row r="1" spans="1:34" x14ac:dyDescent="0.25">
      <c r="A1" s="7" t="s">
        <v>60</v>
      </c>
      <c r="B1" s="7" t="s">
        <v>17</v>
      </c>
      <c r="C1" s="7" t="s">
        <v>61</v>
      </c>
      <c r="D1" s="7" t="s">
        <v>62</v>
      </c>
      <c r="E1" s="7" t="s">
        <v>63</v>
      </c>
      <c r="G1" s="115" t="s">
        <v>51</v>
      </c>
      <c r="H1" s="115"/>
      <c r="I1" s="115"/>
      <c r="J1" s="115"/>
      <c r="K1" s="115"/>
      <c r="L1" s="115"/>
      <c r="N1" s="115" t="s">
        <v>52</v>
      </c>
      <c r="O1" s="115"/>
      <c r="P1" s="115"/>
      <c r="Q1" s="115"/>
      <c r="R1" s="115"/>
      <c r="S1" s="115"/>
      <c r="Z1" s="116" t="s">
        <v>64</v>
      </c>
      <c r="AA1" s="116"/>
      <c r="AB1" s="116"/>
      <c r="AC1" s="116"/>
      <c r="AD1" s="116"/>
      <c r="AE1" s="116"/>
      <c r="AF1" s="116"/>
      <c r="AG1" s="116"/>
      <c r="AH1" s="116"/>
    </row>
    <row r="2" spans="1:34" x14ac:dyDescent="0.25">
      <c r="A2" s="7">
        <v>1</v>
      </c>
      <c r="B2" s="31">
        <v>8.5</v>
      </c>
      <c r="C2" s="31">
        <v>4</v>
      </c>
      <c r="D2" s="31">
        <v>1</v>
      </c>
      <c r="E2" s="31">
        <f>C2*D2</f>
        <v>4</v>
      </c>
      <c r="Z2" s="116" t="s">
        <v>65</v>
      </c>
      <c r="AA2" s="116"/>
      <c r="AB2" s="116"/>
      <c r="AC2" s="116"/>
      <c r="AD2" s="116"/>
      <c r="AE2" s="116"/>
      <c r="AF2" s="116"/>
      <c r="AG2" s="116"/>
      <c r="AH2" s="116"/>
    </row>
    <row r="3" spans="1:34" x14ac:dyDescent="0.25">
      <c r="A3" s="7">
        <v>2</v>
      </c>
      <c r="B3" s="31">
        <v>13</v>
      </c>
      <c r="C3" s="31">
        <v>5</v>
      </c>
      <c r="D3" s="31">
        <v>0</v>
      </c>
      <c r="E3" s="31">
        <f t="shared" ref="E3:E19" si="0">C3*D3</f>
        <v>0</v>
      </c>
      <c r="G3" s="7" t="s">
        <v>60</v>
      </c>
      <c r="H3" s="7" t="s">
        <v>17</v>
      </c>
      <c r="I3" s="7" t="s">
        <v>61</v>
      </c>
      <c r="J3" s="7" t="s">
        <v>62</v>
      </c>
      <c r="K3" s="7" t="s">
        <v>63</v>
      </c>
      <c r="N3" s="7" t="s">
        <v>60</v>
      </c>
      <c r="O3" s="7" t="s">
        <v>17</v>
      </c>
      <c r="P3" s="7" t="s">
        <v>61</v>
      </c>
      <c r="Q3" s="7" t="s">
        <v>62</v>
      </c>
      <c r="R3" s="7" t="s">
        <v>63</v>
      </c>
    </row>
    <row r="4" spans="1:34" x14ac:dyDescent="0.25">
      <c r="A4" s="7">
        <v>3</v>
      </c>
      <c r="B4" s="31">
        <v>9</v>
      </c>
      <c r="C4" s="31">
        <v>5</v>
      </c>
      <c r="D4" s="31">
        <v>1</v>
      </c>
      <c r="E4" s="31">
        <f t="shared" si="0"/>
        <v>5</v>
      </c>
      <c r="J4" s="23">
        <v>0</v>
      </c>
      <c r="Q4" s="23">
        <v>1</v>
      </c>
      <c r="Z4" s="23" t="s">
        <v>24</v>
      </c>
    </row>
    <row r="5" spans="1:34" ht="19.5" thickBot="1" x14ac:dyDescent="0.3">
      <c r="A5" s="7">
        <v>4</v>
      </c>
      <c r="B5" s="31">
        <v>15</v>
      </c>
      <c r="C5" s="31">
        <v>7</v>
      </c>
      <c r="D5" s="31">
        <v>0</v>
      </c>
      <c r="E5" s="31">
        <f t="shared" si="0"/>
        <v>0</v>
      </c>
    </row>
    <row r="6" spans="1:34" x14ac:dyDescent="0.25">
      <c r="A6" s="7">
        <v>5</v>
      </c>
      <c r="B6" s="31">
        <v>9</v>
      </c>
      <c r="C6" s="31">
        <v>7</v>
      </c>
      <c r="D6" s="31">
        <v>1</v>
      </c>
      <c r="E6" s="31">
        <f t="shared" si="0"/>
        <v>7</v>
      </c>
      <c r="G6" s="7" t="s">
        <v>60</v>
      </c>
      <c r="H6" s="7" t="s">
        <v>17</v>
      </c>
      <c r="I6" s="7" t="s">
        <v>61</v>
      </c>
      <c r="J6" s="7" t="s">
        <v>62</v>
      </c>
      <c r="K6" s="7" t="s">
        <v>63</v>
      </c>
      <c r="N6" s="7" t="s">
        <v>60</v>
      </c>
      <c r="O6" s="7" t="s">
        <v>17</v>
      </c>
      <c r="P6" s="7" t="s">
        <v>61</v>
      </c>
      <c r="Q6" s="7" t="s">
        <v>62</v>
      </c>
      <c r="R6" s="7" t="s">
        <v>63</v>
      </c>
      <c r="Z6" s="32" t="s">
        <v>25</v>
      </c>
      <c r="AA6" s="32"/>
    </row>
    <row r="7" spans="1:34" x14ac:dyDescent="0.25">
      <c r="A7" s="7">
        <v>6</v>
      </c>
      <c r="B7" s="31">
        <v>9</v>
      </c>
      <c r="C7" s="31">
        <v>2</v>
      </c>
      <c r="D7" s="31">
        <v>0</v>
      </c>
      <c r="E7" s="31">
        <f t="shared" si="0"/>
        <v>0</v>
      </c>
      <c r="G7" s="7">
        <v>2</v>
      </c>
      <c r="H7" s="31">
        <v>13</v>
      </c>
      <c r="I7" s="31">
        <v>5</v>
      </c>
      <c r="J7" s="31">
        <v>0</v>
      </c>
      <c r="K7" s="31">
        <v>0</v>
      </c>
      <c r="N7" s="7">
        <v>1</v>
      </c>
      <c r="O7" s="31">
        <v>8.5</v>
      </c>
      <c r="P7" s="31">
        <v>4</v>
      </c>
      <c r="Q7" s="31">
        <v>1</v>
      </c>
      <c r="R7" s="31">
        <v>4</v>
      </c>
      <c r="Z7" s="23" t="s">
        <v>26</v>
      </c>
      <c r="AA7" s="33">
        <v>0.99188164531876288</v>
      </c>
    </row>
    <row r="8" spans="1:34" x14ac:dyDescent="0.25">
      <c r="A8" s="7">
        <v>7</v>
      </c>
      <c r="B8" s="31">
        <v>6</v>
      </c>
      <c r="C8" s="31">
        <v>2</v>
      </c>
      <c r="D8" s="31">
        <v>1</v>
      </c>
      <c r="E8" s="31">
        <f t="shared" si="0"/>
        <v>2</v>
      </c>
      <c r="G8" s="7">
        <v>4</v>
      </c>
      <c r="H8" s="31">
        <v>15</v>
      </c>
      <c r="I8" s="31">
        <v>7</v>
      </c>
      <c r="J8" s="31">
        <v>0</v>
      </c>
      <c r="K8" s="31">
        <v>0</v>
      </c>
      <c r="N8" s="7">
        <v>3</v>
      </c>
      <c r="O8" s="31">
        <v>9</v>
      </c>
      <c r="P8" s="31">
        <v>5</v>
      </c>
      <c r="Q8" s="31">
        <v>1</v>
      </c>
      <c r="R8" s="31">
        <v>5</v>
      </c>
      <c r="Z8" s="23" t="s">
        <v>27</v>
      </c>
      <c r="AA8" s="33">
        <v>0.98382919832025606</v>
      </c>
    </row>
    <row r="9" spans="1:34" x14ac:dyDescent="0.25">
      <c r="A9" s="7">
        <v>8</v>
      </c>
      <c r="B9" s="31">
        <v>10</v>
      </c>
      <c r="C9" s="31">
        <v>3</v>
      </c>
      <c r="D9" s="31">
        <v>0</v>
      </c>
      <c r="E9" s="31">
        <f t="shared" si="0"/>
        <v>0</v>
      </c>
      <c r="G9" s="7">
        <v>6</v>
      </c>
      <c r="H9" s="31">
        <v>9</v>
      </c>
      <c r="I9" s="31">
        <v>2</v>
      </c>
      <c r="J9" s="31">
        <v>0</v>
      </c>
      <c r="K9" s="31">
        <v>0</v>
      </c>
      <c r="N9" s="7">
        <v>5</v>
      </c>
      <c r="O9" s="31">
        <v>9</v>
      </c>
      <c r="P9" s="31">
        <v>7</v>
      </c>
      <c r="Q9" s="31">
        <v>1</v>
      </c>
      <c r="R9" s="31">
        <v>7</v>
      </c>
      <c r="Z9" s="23" t="s">
        <v>28</v>
      </c>
      <c r="AA9" s="33">
        <v>0.98036402653173937</v>
      </c>
    </row>
    <row r="10" spans="1:34" x14ac:dyDescent="0.25">
      <c r="A10" s="7">
        <v>9</v>
      </c>
      <c r="B10" s="31">
        <v>7</v>
      </c>
      <c r="C10" s="31">
        <v>3</v>
      </c>
      <c r="D10" s="31">
        <v>1</v>
      </c>
      <c r="E10" s="31">
        <f t="shared" si="0"/>
        <v>3</v>
      </c>
      <c r="G10" s="7">
        <v>8</v>
      </c>
      <c r="H10" s="31">
        <v>10</v>
      </c>
      <c r="I10" s="31">
        <v>3</v>
      </c>
      <c r="J10" s="31">
        <v>0</v>
      </c>
      <c r="K10" s="31">
        <v>0</v>
      </c>
      <c r="N10" s="7">
        <v>7</v>
      </c>
      <c r="O10" s="31">
        <v>6</v>
      </c>
      <c r="P10" s="31">
        <v>2</v>
      </c>
      <c r="Q10" s="31">
        <v>1</v>
      </c>
      <c r="R10" s="31">
        <v>2</v>
      </c>
      <c r="Z10" s="23" t="s">
        <v>29</v>
      </c>
      <c r="AA10" s="33">
        <v>0.7540616835222369</v>
      </c>
    </row>
    <row r="11" spans="1:34" ht="19.5" thickBot="1" x14ac:dyDescent="0.3">
      <c r="A11" s="7">
        <v>10</v>
      </c>
      <c r="B11" s="31">
        <v>12</v>
      </c>
      <c r="C11" s="31">
        <v>4</v>
      </c>
      <c r="D11" s="31">
        <v>0</v>
      </c>
      <c r="E11" s="31">
        <f t="shared" si="0"/>
        <v>0</v>
      </c>
      <c r="G11" s="7">
        <v>10</v>
      </c>
      <c r="H11" s="31">
        <v>12</v>
      </c>
      <c r="I11" s="31">
        <v>4</v>
      </c>
      <c r="J11" s="31">
        <v>0</v>
      </c>
      <c r="K11" s="31">
        <v>0</v>
      </c>
      <c r="N11" s="7">
        <v>9</v>
      </c>
      <c r="O11" s="31">
        <v>7</v>
      </c>
      <c r="P11" s="31">
        <v>3</v>
      </c>
      <c r="Q11" s="31">
        <v>1</v>
      </c>
      <c r="R11" s="31">
        <v>3</v>
      </c>
      <c r="Z11" s="34" t="s">
        <v>30</v>
      </c>
      <c r="AA11" s="34">
        <v>18</v>
      </c>
    </row>
    <row r="12" spans="1:34" x14ac:dyDescent="0.25">
      <c r="A12" s="7">
        <v>11</v>
      </c>
      <c r="B12" s="31">
        <v>16</v>
      </c>
      <c r="C12" s="31">
        <v>15</v>
      </c>
      <c r="D12" s="31">
        <v>1</v>
      </c>
      <c r="E12" s="31">
        <f t="shared" si="0"/>
        <v>15</v>
      </c>
      <c r="G12" s="7">
        <v>13</v>
      </c>
      <c r="H12" s="31">
        <v>22</v>
      </c>
      <c r="I12" s="31">
        <v>12</v>
      </c>
      <c r="J12" s="31">
        <v>0</v>
      </c>
      <c r="K12" s="31">
        <v>0</v>
      </c>
      <c r="N12" s="7">
        <v>11</v>
      </c>
      <c r="O12" s="31">
        <v>16</v>
      </c>
      <c r="P12" s="31">
        <v>15</v>
      </c>
      <c r="Q12" s="31">
        <v>1</v>
      </c>
      <c r="R12" s="31">
        <v>15</v>
      </c>
    </row>
    <row r="13" spans="1:34" ht="19.5" thickBot="1" x14ac:dyDescent="0.3">
      <c r="A13" s="7">
        <v>12</v>
      </c>
      <c r="B13" s="31">
        <v>12</v>
      </c>
      <c r="C13" s="31">
        <v>10</v>
      </c>
      <c r="D13" s="31">
        <v>1</v>
      </c>
      <c r="E13" s="31">
        <f t="shared" si="0"/>
        <v>10</v>
      </c>
      <c r="G13" s="7">
        <v>15</v>
      </c>
      <c r="H13" s="31">
        <v>25</v>
      </c>
      <c r="I13" s="31">
        <v>15</v>
      </c>
      <c r="J13" s="31">
        <v>0</v>
      </c>
      <c r="K13" s="31">
        <v>0</v>
      </c>
      <c r="N13" s="7">
        <v>12</v>
      </c>
      <c r="O13" s="31">
        <v>12</v>
      </c>
      <c r="P13" s="31">
        <v>10</v>
      </c>
      <c r="Q13" s="31">
        <v>1</v>
      </c>
      <c r="R13" s="31">
        <v>10</v>
      </c>
      <c r="Z13" s="23" t="s">
        <v>31</v>
      </c>
    </row>
    <row r="14" spans="1:34" x14ac:dyDescent="0.25">
      <c r="A14" s="7">
        <v>13</v>
      </c>
      <c r="B14" s="31">
        <v>22</v>
      </c>
      <c r="C14" s="31">
        <v>12</v>
      </c>
      <c r="D14" s="31">
        <v>0</v>
      </c>
      <c r="E14" s="31">
        <f t="shared" si="0"/>
        <v>0</v>
      </c>
      <c r="G14" s="7">
        <v>16</v>
      </c>
      <c r="H14" s="31">
        <v>18</v>
      </c>
      <c r="I14" s="31">
        <v>8</v>
      </c>
      <c r="J14" s="31">
        <v>0</v>
      </c>
      <c r="K14" s="31">
        <v>0</v>
      </c>
      <c r="N14" s="7">
        <v>14</v>
      </c>
      <c r="O14" s="31">
        <v>15</v>
      </c>
      <c r="P14" s="31">
        <v>12</v>
      </c>
      <c r="Q14" s="31">
        <v>1</v>
      </c>
      <c r="R14" s="31">
        <v>12</v>
      </c>
      <c r="Z14" s="35"/>
      <c r="AA14" s="35" t="s">
        <v>36</v>
      </c>
      <c r="AB14" s="35" t="s">
        <v>37</v>
      </c>
      <c r="AC14" s="35" t="s">
        <v>38</v>
      </c>
      <c r="AD14" s="35" t="s">
        <v>39</v>
      </c>
      <c r="AE14" s="35" t="s">
        <v>40</v>
      </c>
    </row>
    <row r="15" spans="1:34" x14ac:dyDescent="0.25">
      <c r="A15" s="7">
        <v>14</v>
      </c>
      <c r="B15" s="31">
        <v>15</v>
      </c>
      <c r="C15" s="31">
        <v>12</v>
      </c>
      <c r="D15" s="31">
        <v>1</v>
      </c>
      <c r="E15" s="31">
        <f t="shared" si="0"/>
        <v>12</v>
      </c>
      <c r="G15" s="7">
        <v>18</v>
      </c>
      <c r="H15" s="31">
        <v>20</v>
      </c>
      <c r="I15" s="31">
        <v>10</v>
      </c>
      <c r="J15" s="31">
        <v>0</v>
      </c>
      <c r="K15" s="31">
        <v>0</v>
      </c>
      <c r="N15" s="7">
        <v>17</v>
      </c>
      <c r="O15" s="31">
        <v>9.5</v>
      </c>
      <c r="P15" s="31">
        <v>8</v>
      </c>
      <c r="Q15" s="31">
        <v>1</v>
      </c>
      <c r="R15" s="31">
        <v>8</v>
      </c>
      <c r="Z15" s="23" t="s">
        <v>32</v>
      </c>
      <c r="AA15" s="23">
        <v>3</v>
      </c>
      <c r="AB15" s="23">
        <v>484.31725146198823</v>
      </c>
      <c r="AC15" s="23">
        <v>161.43908382066274</v>
      </c>
      <c r="AD15" s="23">
        <v>283.91931435567835</v>
      </c>
      <c r="AE15" s="23">
        <v>9.0207951207056316E-13</v>
      </c>
    </row>
    <row r="16" spans="1:34" x14ac:dyDescent="0.25">
      <c r="A16" s="7">
        <v>15</v>
      </c>
      <c r="B16" s="31">
        <v>25</v>
      </c>
      <c r="C16" s="31">
        <v>15</v>
      </c>
      <c r="D16" s="31">
        <v>0</v>
      </c>
      <c r="E16" s="31">
        <f t="shared" si="0"/>
        <v>0</v>
      </c>
      <c r="Z16" s="23" t="s">
        <v>33</v>
      </c>
      <c r="AA16" s="23">
        <v>14</v>
      </c>
      <c r="AB16" s="23">
        <v>7.960526315789461</v>
      </c>
      <c r="AC16" s="23">
        <v>0.56860902255639012</v>
      </c>
    </row>
    <row r="17" spans="1:34" ht="19.5" thickBot="1" x14ac:dyDescent="0.3">
      <c r="A17" s="7">
        <v>16</v>
      </c>
      <c r="B17" s="31">
        <v>18</v>
      </c>
      <c r="C17" s="31">
        <v>8</v>
      </c>
      <c r="D17" s="31">
        <v>0</v>
      </c>
      <c r="E17" s="31">
        <f t="shared" si="0"/>
        <v>0</v>
      </c>
      <c r="Z17" s="34" t="s">
        <v>34</v>
      </c>
      <c r="AA17" s="34">
        <v>17</v>
      </c>
      <c r="AB17" s="34">
        <v>492.27777777777771</v>
      </c>
      <c r="AC17" s="34"/>
      <c r="AD17" s="34"/>
      <c r="AE17" s="34"/>
    </row>
    <row r="18" spans="1:34" ht="19.5" thickBot="1" x14ac:dyDescent="0.3">
      <c r="A18" s="7">
        <v>17</v>
      </c>
      <c r="B18" s="31">
        <v>9.5</v>
      </c>
      <c r="C18" s="31">
        <v>8</v>
      </c>
      <c r="D18" s="31">
        <v>1</v>
      </c>
      <c r="E18" s="31">
        <f t="shared" si="0"/>
        <v>8</v>
      </c>
    </row>
    <row r="19" spans="1:34" x14ac:dyDescent="0.25">
      <c r="A19" s="7">
        <v>18</v>
      </c>
      <c r="B19" s="31">
        <v>20</v>
      </c>
      <c r="C19" s="31">
        <v>10</v>
      </c>
      <c r="D19" s="31">
        <v>0</v>
      </c>
      <c r="E19" s="31">
        <f t="shared" si="0"/>
        <v>0</v>
      </c>
      <c r="Z19" s="35"/>
      <c r="AA19" s="35" t="s">
        <v>41</v>
      </c>
      <c r="AB19" s="35" t="s">
        <v>29</v>
      </c>
      <c r="AC19" s="35" t="s">
        <v>42</v>
      </c>
      <c r="AD19" s="35" t="s">
        <v>43</v>
      </c>
      <c r="AE19" s="35" t="s">
        <v>44</v>
      </c>
      <c r="AF19" s="35" t="s">
        <v>45</v>
      </c>
      <c r="AG19" s="35" t="s">
        <v>46</v>
      </c>
      <c r="AH19" s="35" t="s">
        <v>47</v>
      </c>
    </row>
    <row r="20" spans="1:34" x14ac:dyDescent="0.25">
      <c r="Z20" s="23" t="s">
        <v>66</v>
      </c>
      <c r="AA20" s="33">
        <v>6.6885964912280711</v>
      </c>
      <c r="AB20" s="33">
        <v>0.51415300981739531</v>
      </c>
      <c r="AC20" s="33">
        <v>13.008961074843398</v>
      </c>
      <c r="AD20" s="33">
        <v>3.2963636988681133E-9</v>
      </c>
      <c r="AE20" s="33">
        <v>5.5858479602188496</v>
      </c>
      <c r="AF20" s="33">
        <v>7.7913450222372926</v>
      </c>
      <c r="AG20" s="33">
        <v>5.5858479602188496</v>
      </c>
      <c r="AH20" s="33">
        <v>7.7913450222372926</v>
      </c>
    </row>
    <row r="21" spans="1:34" x14ac:dyDescent="0.25">
      <c r="Z21" s="23" t="s">
        <v>67</v>
      </c>
      <c r="AA21" s="33">
        <v>1.2697368421052633</v>
      </c>
      <c r="AB21" s="33">
        <v>6.1162478960616287E-2</v>
      </c>
      <c r="AC21" s="33">
        <v>20.760061784331398</v>
      </c>
      <c r="AD21" s="33">
        <v>6.4819074100523559E-12</v>
      </c>
      <c r="AE21" s="33">
        <v>1.1385563714304807</v>
      </c>
      <c r="AF21" s="33">
        <v>1.4009173127800458</v>
      </c>
      <c r="AG21" s="33">
        <v>1.1385563714304807</v>
      </c>
      <c r="AH21" s="33">
        <v>1.4009173127800458</v>
      </c>
    </row>
    <row r="22" spans="1:34" x14ac:dyDescent="0.25">
      <c r="Z22" s="23" t="s">
        <v>11</v>
      </c>
      <c r="AA22" s="33">
        <v>-2.0789473684210544</v>
      </c>
      <c r="AB22" s="33">
        <v>0.72712215961870741</v>
      </c>
      <c r="AC22" s="33">
        <v>-2.8591445617765592</v>
      </c>
      <c r="AD22" s="33">
        <v>1.2620192109037509E-2</v>
      </c>
      <c r="AE22" s="33">
        <v>-3.6384692968613033</v>
      </c>
      <c r="AF22" s="33">
        <v>-0.51942543998080581</v>
      </c>
      <c r="AG22" s="33">
        <v>-3.6384692968613033</v>
      </c>
      <c r="AH22" s="33">
        <v>-0.51942543998080581</v>
      </c>
    </row>
    <row r="23" spans="1:34" ht="19.5" thickBot="1" x14ac:dyDescent="0.3">
      <c r="Z23" s="34" t="s">
        <v>68</v>
      </c>
      <c r="AA23" s="36">
        <v>-0.50438596491228072</v>
      </c>
      <c r="AB23" s="36">
        <v>8.649680725446264E-2</v>
      </c>
      <c r="AC23" s="36">
        <v>-5.8312668516011366</v>
      </c>
      <c r="AD23" s="36">
        <v>4.3588262341125532E-5</v>
      </c>
      <c r="AE23" s="36">
        <v>-0.68990316565904442</v>
      </c>
      <c r="AF23" s="36">
        <v>-0.31886876416551707</v>
      </c>
      <c r="AG23" s="36">
        <v>-0.68990316565904442</v>
      </c>
      <c r="AH23" s="36">
        <v>-0.31886876416551707</v>
      </c>
    </row>
    <row r="25" spans="1:34" x14ac:dyDescent="0.25">
      <c r="Z25" s="116" t="s">
        <v>69</v>
      </c>
      <c r="AA25" s="116"/>
      <c r="AB25" s="116"/>
      <c r="AC25" s="116"/>
      <c r="AD25" s="116"/>
      <c r="AE25" s="116"/>
      <c r="AF25" s="116"/>
      <c r="AG25" s="116"/>
      <c r="AH25" s="116"/>
    </row>
    <row r="26" spans="1:34" x14ac:dyDescent="0.25">
      <c r="Z26" s="116" t="s">
        <v>70</v>
      </c>
      <c r="AA26" s="116"/>
      <c r="AB26" s="116"/>
      <c r="AC26" s="116"/>
      <c r="AD26" s="116"/>
      <c r="AE26" s="116"/>
      <c r="AF26" s="116"/>
      <c r="AG26" s="116"/>
      <c r="AH26" s="116"/>
    </row>
    <row r="28" spans="1:34" x14ac:dyDescent="0.25">
      <c r="Z28" s="23" t="s">
        <v>24</v>
      </c>
    </row>
    <row r="29" spans="1:34" ht="19.5" thickBot="1" x14ac:dyDescent="0.3"/>
    <row r="30" spans="1:34" x14ac:dyDescent="0.25">
      <c r="Z30" s="32" t="s">
        <v>25</v>
      </c>
      <c r="AA30" s="32"/>
    </row>
    <row r="31" spans="1:34" x14ac:dyDescent="0.25">
      <c r="Z31" s="23" t="s">
        <v>26</v>
      </c>
      <c r="AA31" s="37">
        <v>0.79962214658425668</v>
      </c>
    </row>
    <row r="32" spans="1:34" x14ac:dyDescent="0.25">
      <c r="Z32" s="23" t="s">
        <v>27</v>
      </c>
      <c r="AA32" s="37">
        <v>0.63939557730801444</v>
      </c>
    </row>
    <row r="33" spans="2:34" x14ac:dyDescent="0.25">
      <c r="Z33" s="23" t="s">
        <v>28</v>
      </c>
      <c r="AA33" s="37">
        <v>0.61685780088976538</v>
      </c>
    </row>
    <row r="34" spans="2:34" x14ac:dyDescent="0.25">
      <c r="Z34" s="23" t="s">
        <v>29</v>
      </c>
      <c r="AA34" s="37">
        <v>3.3308927468815428</v>
      </c>
    </row>
    <row r="35" spans="2:34" ht="19.5" thickBot="1" x14ac:dyDescent="0.3">
      <c r="Z35" s="34" t="s">
        <v>30</v>
      </c>
      <c r="AA35" s="34">
        <v>18</v>
      </c>
    </row>
    <row r="37" spans="2:34" ht="19.5" thickBot="1" x14ac:dyDescent="0.3">
      <c r="Z37" s="23" t="s">
        <v>31</v>
      </c>
    </row>
    <row r="38" spans="2:34" x14ac:dyDescent="0.25">
      <c r="Z38" s="35"/>
      <c r="AA38" s="35" t="s">
        <v>36</v>
      </c>
      <c r="AB38" s="35" t="s">
        <v>37</v>
      </c>
      <c r="AC38" s="35" t="s">
        <v>38</v>
      </c>
      <c r="AD38" s="35" t="s">
        <v>39</v>
      </c>
      <c r="AE38" s="35" t="s">
        <v>40</v>
      </c>
    </row>
    <row r="39" spans="2:34" x14ac:dyDescent="0.25">
      <c r="Z39" s="23" t="s">
        <v>32</v>
      </c>
      <c r="AA39" s="23">
        <v>1</v>
      </c>
      <c r="AB39" s="23">
        <v>314.76023391812862</v>
      </c>
      <c r="AC39" s="23">
        <v>314.76023391812862</v>
      </c>
      <c r="AD39" s="23">
        <v>28.369949432557529</v>
      </c>
      <c r="AE39" s="23">
        <v>6.8185640028063424E-5</v>
      </c>
    </row>
    <row r="40" spans="2:34" x14ac:dyDescent="0.25">
      <c r="B40" s="23" t="s">
        <v>72</v>
      </c>
      <c r="C40" s="33">
        <f>((AB40-AB61-AB82)/(AA60+AA81))/((AB61+AB82)/(AA35-2*(AA60+AA81)))</f>
        <v>149.0980716253444</v>
      </c>
      <c r="Z40" s="23" t="s">
        <v>33</v>
      </c>
      <c r="AA40" s="23">
        <v>16</v>
      </c>
      <c r="AB40" s="23">
        <v>177.51754385964909</v>
      </c>
      <c r="AC40" s="23">
        <v>11.094846491228068</v>
      </c>
    </row>
    <row r="41" spans="2:34" ht="19.5" thickBot="1" x14ac:dyDescent="0.3">
      <c r="B41" s="23" t="s">
        <v>73</v>
      </c>
      <c r="C41" s="37">
        <f xml:space="preserve"> _xlfn.F.INV.RT(0.05, 2, 14)</f>
        <v>3.7388918324407361</v>
      </c>
      <c r="Z41" s="34" t="s">
        <v>34</v>
      </c>
      <c r="AA41" s="34">
        <v>17</v>
      </c>
      <c r="AB41" s="34">
        <v>492.27777777777771</v>
      </c>
      <c r="AC41" s="34"/>
      <c r="AD41" s="34"/>
      <c r="AE41" s="34"/>
    </row>
    <row r="42" spans="2:34" ht="19.5" thickBot="1" x14ac:dyDescent="0.3"/>
    <row r="43" spans="2:34" x14ac:dyDescent="0.25">
      <c r="B43" s="23" t="s">
        <v>74</v>
      </c>
      <c r="Z43" s="35"/>
      <c r="AA43" s="35" t="s">
        <v>41</v>
      </c>
      <c r="AB43" s="35" t="s">
        <v>29</v>
      </c>
      <c r="AC43" s="35" t="s">
        <v>42</v>
      </c>
      <c r="AD43" s="35" t="s">
        <v>43</v>
      </c>
      <c r="AE43" s="35" t="s">
        <v>44</v>
      </c>
      <c r="AF43" s="35" t="s">
        <v>45</v>
      </c>
      <c r="AG43" s="35" t="s">
        <v>46</v>
      </c>
      <c r="AH43" s="35" t="s">
        <v>47</v>
      </c>
    </row>
    <row r="44" spans="2:34" x14ac:dyDescent="0.25">
      <c r="B44" s="23" t="s">
        <v>75</v>
      </c>
      <c r="Z44" s="23" t="s">
        <v>66</v>
      </c>
      <c r="AA44" s="33">
        <v>5.6491228070175419</v>
      </c>
      <c r="AB44" s="33">
        <v>1.6059468213911534</v>
      </c>
      <c r="AC44" s="33">
        <v>3.5176275651045419</v>
      </c>
      <c r="AD44" s="33">
        <v>2.8552363840809898E-3</v>
      </c>
      <c r="AE44" s="33">
        <v>2.2446676300829056</v>
      </c>
      <c r="AF44" s="33">
        <v>9.0535779839521773</v>
      </c>
      <c r="AG44" s="33">
        <v>2.2446676300829056</v>
      </c>
      <c r="AH44" s="33">
        <v>9.0535779839521773</v>
      </c>
    </row>
    <row r="45" spans="2:34" ht="19.5" thickBot="1" x14ac:dyDescent="0.3">
      <c r="Z45" s="34" t="s">
        <v>67</v>
      </c>
      <c r="AA45" s="36">
        <v>1.0175438596491231</v>
      </c>
      <c r="AB45" s="36">
        <v>0.19103980099249013</v>
      </c>
      <c r="AC45" s="36">
        <v>5.3263448473186132</v>
      </c>
      <c r="AD45" s="36">
        <v>6.8185640028063302E-5</v>
      </c>
      <c r="AE45" s="36">
        <v>0.61255757316296933</v>
      </c>
      <c r="AF45" s="36">
        <v>1.4225301461352768</v>
      </c>
      <c r="AG45" s="36">
        <v>0.61255757316296933</v>
      </c>
      <c r="AH45" s="36">
        <v>1.4225301461352768</v>
      </c>
    </row>
    <row r="47" spans="2:34" x14ac:dyDescent="0.25">
      <c r="Z47" s="116" t="s">
        <v>76</v>
      </c>
      <c r="AA47" s="116"/>
      <c r="AB47" s="116"/>
      <c r="AC47" s="116"/>
      <c r="AD47" s="116"/>
      <c r="AE47" s="116"/>
      <c r="AF47" s="116"/>
      <c r="AG47" s="116"/>
      <c r="AH47" s="116"/>
    </row>
    <row r="49" spans="26:34" x14ac:dyDescent="0.25">
      <c r="Z49" s="23" t="s">
        <v>24</v>
      </c>
    </row>
    <row r="50" spans="26:34" ht="19.5" thickBot="1" x14ac:dyDescent="0.3"/>
    <row r="51" spans="26:34" x14ac:dyDescent="0.25">
      <c r="Z51" s="32" t="s">
        <v>25</v>
      </c>
      <c r="AA51" s="32"/>
    </row>
    <row r="52" spans="26:34" x14ac:dyDescent="0.25">
      <c r="Z52" s="23" t="s">
        <v>26</v>
      </c>
      <c r="AA52" s="33">
        <v>0.99405330738783448</v>
      </c>
    </row>
    <row r="53" spans="26:34" x14ac:dyDescent="0.25">
      <c r="Z53" s="23" t="s">
        <v>27</v>
      </c>
      <c r="AA53" s="33">
        <v>0.98814197792869263</v>
      </c>
    </row>
    <row r="54" spans="26:34" x14ac:dyDescent="0.25">
      <c r="Z54" s="23" t="s">
        <v>28</v>
      </c>
      <c r="AA54" s="33">
        <v>0.98644797477564872</v>
      </c>
    </row>
    <row r="55" spans="26:34" x14ac:dyDescent="0.25">
      <c r="Z55" s="23" t="s">
        <v>29</v>
      </c>
      <c r="AA55" s="33">
        <v>0.64816107716746385</v>
      </c>
    </row>
    <row r="56" spans="26:34" ht="19.5" thickBot="1" x14ac:dyDescent="0.3">
      <c r="Z56" s="34" t="s">
        <v>30</v>
      </c>
      <c r="AA56" s="34">
        <v>9</v>
      </c>
    </row>
    <row r="58" spans="26:34" ht="19.5" thickBot="1" x14ac:dyDescent="0.3">
      <c r="Z58" s="23" t="s">
        <v>31</v>
      </c>
    </row>
    <row r="59" spans="26:34" x14ac:dyDescent="0.25">
      <c r="Z59" s="35"/>
      <c r="AA59" s="35" t="s">
        <v>36</v>
      </c>
      <c r="AB59" s="35" t="s">
        <v>37</v>
      </c>
      <c r="AC59" s="35" t="s">
        <v>38</v>
      </c>
      <c r="AD59" s="35" t="s">
        <v>39</v>
      </c>
      <c r="AE59" s="35" t="s">
        <v>40</v>
      </c>
    </row>
    <row r="60" spans="26:34" x14ac:dyDescent="0.25">
      <c r="Z60" s="23" t="s">
        <v>32</v>
      </c>
      <c r="AA60" s="23">
        <v>1</v>
      </c>
      <c r="AB60" s="23">
        <v>245.05921052631578</v>
      </c>
      <c r="AC60" s="23">
        <v>245.05921052631578</v>
      </c>
      <c r="AD60" s="23">
        <v>583.31767337807639</v>
      </c>
      <c r="AE60" s="23">
        <v>5.3086941456194093E-8</v>
      </c>
    </row>
    <row r="61" spans="26:34" x14ac:dyDescent="0.25">
      <c r="Z61" s="23" t="s">
        <v>33</v>
      </c>
      <c r="AA61" s="23">
        <v>7</v>
      </c>
      <c r="AB61" s="23">
        <v>2.9407894736842088</v>
      </c>
      <c r="AC61" s="23">
        <v>0.42011278195488699</v>
      </c>
    </row>
    <row r="62" spans="26:34" ht="19.5" thickBot="1" x14ac:dyDescent="0.3">
      <c r="Z62" s="34" t="s">
        <v>34</v>
      </c>
      <c r="AA62" s="34">
        <v>8</v>
      </c>
      <c r="AB62" s="34">
        <v>248</v>
      </c>
      <c r="AC62" s="34"/>
      <c r="AD62" s="34"/>
      <c r="AE62" s="34"/>
    </row>
    <row r="63" spans="26:34" ht="19.5" thickBot="1" x14ac:dyDescent="0.3"/>
    <row r="64" spans="26:34" x14ac:dyDescent="0.25">
      <c r="Z64" s="35"/>
      <c r="AA64" s="35" t="s">
        <v>41</v>
      </c>
      <c r="AB64" s="35" t="s">
        <v>29</v>
      </c>
      <c r="AC64" s="35" t="s">
        <v>42</v>
      </c>
      <c r="AD64" s="35" t="s">
        <v>43</v>
      </c>
      <c r="AE64" s="35" t="s">
        <v>44</v>
      </c>
      <c r="AF64" s="35" t="s">
        <v>45</v>
      </c>
      <c r="AG64" s="35" t="s">
        <v>46</v>
      </c>
      <c r="AH64" s="35" t="s">
        <v>47</v>
      </c>
    </row>
    <row r="65" spans="26:34" x14ac:dyDescent="0.25">
      <c r="Z65" s="23" t="s">
        <v>66</v>
      </c>
      <c r="AA65" s="37">
        <v>6.6885964912280702</v>
      </c>
      <c r="AB65" s="37">
        <v>0.44194523598586893</v>
      </c>
      <c r="AC65" s="37">
        <v>15.134446412364849</v>
      </c>
      <c r="AD65" s="37">
        <v>1.3222802568530526E-6</v>
      </c>
      <c r="AE65" s="37">
        <v>5.6435620683399881</v>
      </c>
      <c r="AF65" s="37">
        <v>7.7336309141161523</v>
      </c>
      <c r="AG65" s="37">
        <v>5.6435620683399881</v>
      </c>
      <c r="AH65" s="37">
        <v>7.7336309141161523</v>
      </c>
    </row>
    <row r="66" spans="26:34" ht="19.5" thickBot="1" x14ac:dyDescent="0.3">
      <c r="Z66" s="34" t="s">
        <v>67</v>
      </c>
      <c r="AA66" s="38">
        <v>1.2697368421052633</v>
      </c>
      <c r="AB66" s="38">
        <v>5.2572805529875914E-2</v>
      </c>
      <c r="AC66" s="38">
        <v>24.151970382933076</v>
      </c>
      <c r="AD66" s="38">
        <v>5.3086941456194093E-8</v>
      </c>
      <c r="AE66" s="38">
        <v>1.1454219111750474</v>
      </c>
      <c r="AF66" s="38">
        <v>1.3940517730354791</v>
      </c>
      <c r="AG66" s="38">
        <v>1.1454219111750474</v>
      </c>
      <c r="AH66" s="38">
        <v>1.3940517730354791</v>
      </c>
    </row>
    <row r="68" spans="26:34" x14ac:dyDescent="0.25">
      <c r="Z68" s="116" t="s">
        <v>77</v>
      </c>
      <c r="AA68" s="116"/>
      <c r="AB68" s="116"/>
      <c r="AC68" s="116"/>
      <c r="AD68" s="116"/>
      <c r="AE68" s="116"/>
      <c r="AF68" s="116"/>
      <c r="AG68" s="116"/>
      <c r="AH68" s="116"/>
    </row>
    <row r="70" spans="26:34" x14ac:dyDescent="0.25">
      <c r="Z70" s="23" t="s">
        <v>24</v>
      </c>
    </row>
    <row r="71" spans="26:34" ht="19.5" thickBot="1" x14ac:dyDescent="0.3"/>
    <row r="72" spans="26:34" x14ac:dyDescent="0.25">
      <c r="Z72" s="32" t="s">
        <v>25</v>
      </c>
      <c r="AA72" s="32"/>
    </row>
    <row r="73" spans="26:34" x14ac:dyDescent="0.25">
      <c r="Z73" s="23" t="s">
        <v>26</v>
      </c>
      <c r="AA73" s="33">
        <v>0.97294916965628397</v>
      </c>
    </row>
    <row r="74" spans="26:34" x14ac:dyDescent="0.25">
      <c r="Z74" s="23" t="s">
        <v>27</v>
      </c>
      <c r="AA74" s="33">
        <v>0.94663008673485249</v>
      </c>
    </row>
    <row r="75" spans="26:34" x14ac:dyDescent="0.25">
      <c r="Z75" s="23" t="s">
        <v>28</v>
      </c>
      <c r="AA75" s="33">
        <v>0.93900581341125999</v>
      </c>
    </row>
    <row r="76" spans="26:34" x14ac:dyDescent="0.25">
      <c r="Z76" s="23" t="s">
        <v>29</v>
      </c>
      <c r="AA76" s="33">
        <v>0.84682067945810968</v>
      </c>
    </row>
    <row r="77" spans="26:34" ht="19.5" thickBot="1" x14ac:dyDescent="0.3">
      <c r="Z77" s="34" t="s">
        <v>30</v>
      </c>
      <c r="AA77" s="34">
        <v>9</v>
      </c>
    </row>
    <row r="79" spans="26:34" ht="19.5" thickBot="1" x14ac:dyDescent="0.3">
      <c r="Z79" s="23" t="s">
        <v>31</v>
      </c>
    </row>
    <row r="80" spans="26:34" x14ac:dyDescent="0.25">
      <c r="Z80" s="35"/>
      <c r="AA80" s="35" t="s">
        <v>36</v>
      </c>
      <c r="AB80" s="35" t="s">
        <v>37</v>
      </c>
      <c r="AC80" s="35" t="s">
        <v>38</v>
      </c>
      <c r="AD80" s="35" t="s">
        <v>39</v>
      </c>
      <c r="AE80" s="35" t="s">
        <v>40</v>
      </c>
    </row>
    <row r="81" spans="26:34" x14ac:dyDescent="0.25">
      <c r="Z81" s="23" t="s">
        <v>32</v>
      </c>
      <c r="AA81" s="23">
        <v>1</v>
      </c>
      <c r="AB81" s="23">
        <v>89.035818713450297</v>
      </c>
      <c r="AC81" s="23">
        <v>89.035818713450297</v>
      </c>
      <c r="AD81" s="23">
        <v>124.16004077471973</v>
      </c>
      <c r="AE81" s="23">
        <v>1.0439789397744579E-5</v>
      </c>
    </row>
    <row r="82" spans="26:34" x14ac:dyDescent="0.25">
      <c r="Z82" s="23" t="s">
        <v>33</v>
      </c>
      <c r="AA82" s="23">
        <v>7</v>
      </c>
      <c r="AB82" s="23">
        <v>5.0197368421052611</v>
      </c>
      <c r="AC82" s="23">
        <v>0.71710526315789447</v>
      </c>
    </row>
    <row r="83" spans="26:34" ht="19.5" thickBot="1" x14ac:dyDescent="0.3">
      <c r="Z83" s="34" t="s">
        <v>34</v>
      </c>
      <c r="AA83" s="34">
        <v>8</v>
      </c>
      <c r="AB83" s="34">
        <v>94.055555555555557</v>
      </c>
      <c r="AC83" s="34"/>
      <c r="AD83" s="34"/>
      <c r="AE83" s="34"/>
    </row>
    <row r="84" spans="26:34" ht="19.5" thickBot="1" x14ac:dyDescent="0.3"/>
    <row r="85" spans="26:34" x14ac:dyDescent="0.25">
      <c r="Z85" s="35"/>
      <c r="AA85" s="35" t="s">
        <v>41</v>
      </c>
      <c r="AB85" s="35" t="s">
        <v>29</v>
      </c>
      <c r="AC85" s="35" t="s">
        <v>42</v>
      </c>
      <c r="AD85" s="35" t="s">
        <v>43</v>
      </c>
      <c r="AE85" s="35" t="s">
        <v>44</v>
      </c>
      <c r="AF85" s="35" t="s">
        <v>45</v>
      </c>
      <c r="AG85" s="35" t="s">
        <v>46</v>
      </c>
      <c r="AH85" s="35" t="s">
        <v>47</v>
      </c>
    </row>
    <row r="86" spans="26:34" x14ac:dyDescent="0.25">
      <c r="Z86" s="23" t="s">
        <v>66</v>
      </c>
      <c r="AA86" s="37">
        <v>4.6096491228070171</v>
      </c>
      <c r="AB86" s="37">
        <v>0.57740024540864932</v>
      </c>
      <c r="AC86" s="37">
        <v>7.9834554270834843</v>
      </c>
      <c r="AD86" s="37">
        <v>9.2361873348012038E-5</v>
      </c>
      <c r="AE86" s="37">
        <v>3.2443144996380995</v>
      </c>
      <c r="AF86" s="37">
        <v>5.9749837459759352</v>
      </c>
      <c r="AG86" s="37">
        <v>3.2443144996380995</v>
      </c>
      <c r="AH86" s="37">
        <v>5.9749837459759352</v>
      </c>
    </row>
    <row r="87" spans="26:34" ht="19.5" thickBot="1" x14ac:dyDescent="0.3">
      <c r="Z87" s="34" t="s">
        <v>67</v>
      </c>
      <c r="AA87" s="38">
        <v>0.76535087719298245</v>
      </c>
      <c r="AB87" s="38">
        <v>6.8686227032306243E-2</v>
      </c>
      <c r="AC87" s="38">
        <v>11.142712451406062</v>
      </c>
      <c r="AD87" s="38">
        <v>1.0439789397744596E-5</v>
      </c>
      <c r="AE87" s="38">
        <v>0.6029337590019832</v>
      </c>
      <c r="AF87" s="38">
        <v>0.92776799538398169</v>
      </c>
      <c r="AG87" s="38">
        <v>0.6029337590019832</v>
      </c>
      <c r="AH87" s="38">
        <v>0.92776799538398169</v>
      </c>
    </row>
  </sheetData>
  <mergeCells count="8">
    <mergeCell ref="Z25:AH25"/>
    <mergeCell ref="Z26:AH26"/>
    <mergeCell ref="Z47:AH47"/>
    <mergeCell ref="Z68:AH68"/>
    <mergeCell ref="G1:L1"/>
    <mergeCell ref="N1:S1"/>
    <mergeCell ref="Z1:AH1"/>
    <mergeCell ref="Z2:A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599E-6519-4484-86CA-C87D1C23D7B4}">
  <dimension ref="A1"/>
  <sheetViews>
    <sheetView zoomScale="144" workbookViewId="0">
      <selection activeCell="I8" sqref="I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4F90-69E3-46B1-B39E-DFBFD51C5548}">
  <dimension ref="A1:I30"/>
  <sheetViews>
    <sheetView workbookViewId="0">
      <selection activeCell="P24" sqref="P24"/>
    </sheetView>
  </sheetViews>
  <sheetFormatPr defaultRowHeight="15" x14ac:dyDescent="0.25"/>
  <cols>
    <col min="1" max="1" width="8" bestFit="1" customWidth="1"/>
    <col min="2" max="2" width="6.42578125" bestFit="1" customWidth="1"/>
    <col min="3" max="3" width="6" bestFit="1" customWidth="1"/>
    <col min="4" max="4" width="8.5703125" bestFit="1" customWidth="1"/>
    <col min="5" max="5" width="3.7109375" bestFit="1" customWidth="1"/>
    <col min="6" max="6" width="5.7109375" bestFit="1" customWidth="1"/>
    <col min="8" max="8" width="8.5703125" bestFit="1" customWidth="1"/>
    <col min="9" max="9" width="7.28515625" bestFit="1" customWidth="1"/>
  </cols>
  <sheetData>
    <row r="1" spans="1:9" x14ac:dyDescent="0.25">
      <c r="A1" s="3" t="s">
        <v>20</v>
      </c>
      <c r="B1" s="3" t="s">
        <v>78</v>
      </c>
      <c r="C1" s="3" t="s">
        <v>79</v>
      </c>
      <c r="D1" s="3" t="s">
        <v>80</v>
      </c>
      <c r="E1" s="3" t="s">
        <v>82</v>
      </c>
      <c r="F1" s="3" t="s">
        <v>81</v>
      </c>
    </row>
    <row r="2" spans="1:9" x14ac:dyDescent="0.25">
      <c r="A2" s="1">
        <v>13746</v>
      </c>
      <c r="B2" s="1">
        <f>_xlfn.RANK.AVG(A2,$A$2:$A$29,1)</f>
        <v>1</v>
      </c>
      <c r="C2" s="1">
        <v>547</v>
      </c>
      <c r="D2" s="1">
        <f>_xlfn.RANK.AVG(C2,$C$2:$C$29,1)</f>
        <v>2</v>
      </c>
      <c r="E2" s="1">
        <f>B2 - D2</f>
        <v>-1</v>
      </c>
      <c r="F2" s="1">
        <f>E2^2</f>
        <v>1</v>
      </c>
      <c r="H2" t="s">
        <v>83</v>
      </c>
      <c r="I2" s="5">
        <f>1-(6*F30)/(28*(28^2-1))</f>
        <v>0.55993431855500819</v>
      </c>
    </row>
    <row r="3" spans="1:9" x14ac:dyDescent="0.25">
      <c r="A3" s="1">
        <v>14386</v>
      </c>
      <c r="B3" s="1">
        <f t="shared" ref="B3:B29" si="0">_xlfn.RANK.AVG(A3,$A$2:$A$29,1)</f>
        <v>2</v>
      </c>
      <c r="C3" s="1">
        <v>1130</v>
      </c>
      <c r="D3" s="1">
        <f t="shared" ref="D3:D29" si="1">_xlfn.RANK.AVG(C3,$C$2:$C$29,1)</f>
        <v>4</v>
      </c>
      <c r="E3" s="1">
        <f t="shared" ref="E3:E29" si="2">B3 - D3</f>
        <v>-2</v>
      </c>
      <c r="F3" s="1">
        <f t="shared" ref="F3:F29" si="3">E3^2</f>
        <v>4</v>
      </c>
      <c r="H3" t="s">
        <v>84</v>
      </c>
      <c r="I3" s="5">
        <f>(I2*SQRT(26))/SQRT((1-I2*I2))</f>
        <v>3.4459728650477959</v>
      </c>
    </row>
    <row r="4" spans="1:9" x14ac:dyDescent="0.25">
      <c r="A4" s="1">
        <v>24646</v>
      </c>
      <c r="B4" s="1">
        <f t="shared" si="0"/>
        <v>3</v>
      </c>
      <c r="C4" s="1">
        <v>2620</v>
      </c>
      <c r="D4" s="1">
        <f t="shared" si="1"/>
        <v>8</v>
      </c>
      <c r="E4" s="1">
        <f t="shared" si="2"/>
        <v>-5</v>
      </c>
      <c r="F4" s="1">
        <f t="shared" si="3"/>
        <v>25</v>
      </c>
      <c r="H4" t="s">
        <v>85</v>
      </c>
      <c r="I4" s="5">
        <f>TINV(0.05,26)</f>
        <v>2.0555294386428731</v>
      </c>
    </row>
    <row r="5" spans="1:9" x14ac:dyDescent="0.25">
      <c r="A5" s="1">
        <v>41506</v>
      </c>
      <c r="B5" s="1">
        <f t="shared" si="0"/>
        <v>4</v>
      </c>
      <c r="C5" s="1">
        <v>1417</v>
      </c>
      <c r="D5" s="1">
        <f t="shared" si="1"/>
        <v>5</v>
      </c>
      <c r="E5" s="1">
        <f t="shared" si="2"/>
        <v>-1</v>
      </c>
      <c r="F5" s="1">
        <f t="shared" si="3"/>
        <v>1</v>
      </c>
    </row>
    <row r="6" spans="1:9" x14ac:dyDescent="0.25">
      <c r="A6" s="1">
        <v>44753</v>
      </c>
      <c r="B6" s="1">
        <f t="shared" si="0"/>
        <v>5</v>
      </c>
      <c r="C6" s="1">
        <v>5955</v>
      </c>
      <c r="D6" s="1">
        <f t="shared" si="1"/>
        <v>15</v>
      </c>
      <c r="E6" s="1">
        <f t="shared" si="2"/>
        <v>-10</v>
      </c>
      <c r="F6" s="1">
        <f t="shared" si="3"/>
        <v>100</v>
      </c>
    </row>
    <row r="7" spans="1:9" x14ac:dyDescent="0.25">
      <c r="A7" s="1">
        <v>50919</v>
      </c>
      <c r="B7" s="1">
        <f t="shared" si="0"/>
        <v>6</v>
      </c>
      <c r="C7" s="1">
        <v>2629</v>
      </c>
      <c r="D7" s="1">
        <f t="shared" si="1"/>
        <v>9</v>
      </c>
      <c r="E7" s="1">
        <f t="shared" si="2"/>
        <v>-3</v>
      </c>
      <c r="F7" s="1">
        <f t="shared" si="3"/>
        <v>9</v>
      </c>
    </row>
    <row r="8" spans="1:9" x14ac:dyDescent="0.25">
      <c r="A8" s="1">
        <v>52662</v>
      </c>
      <c r="B8" s="1">
        <f t="shared" si="0"/>
        <v>7</v>
      </c>
      <c r="C8" s="1">
        <v>6768</v>
      </c>
      <c r="D8" s="1">
        <f t="shared" si="1"/>
        <v>19</v>
      </c>
      <c r="E8" s="1">
        <f t="shared" si="2"/>
        <v>-12</v>
      </c>
      <c r="F8" s="1">
        <f t="shared" si="3"/>
        <v>144</v>
      </c>
    </row>
    <row r="9" spans="1:9" x14ac:dyDescent="0.25">
      <c r="A9" s="1">
        <v>71039</v>
      </c>
      <c r="B9" s="1">
        <f t="shared" si="0"/>
        <v>8</v>
      </c>
      <c r="C9" s="1">
        <v>6264</v>
      </c>
      <c r="D9" s="1">
        <v>18</v>
      </c>
      <c r="E9" s="1">
        <f t="shared" si="2"/>
        <v>-10</v>
      </c>
      <c r="F9" s="39">
        <f t="shared" si="3"/>
        <v>100</v>
      </c>
    </row>
    <row r="10" spans="1:9" x14ac:dyDescent="0.25">
      <c r="A10" s="1">
        <v>72608</v>
      </c>
      <c r="B10" s="1">
        <f t="shared" si="0"/>
        <v>9</v>
      </c>
      <c r="C10" s="1">
        <v>4227</v>
      </c>
      <c r="D10" s="1">
        <f t="shared" si="1"/>
        <v>13</v>
      </c>
      <c r="E10" s="1">
        <f t="shared" si="2"/>
        <v>-4</v>
      </c>
      <c r="F10" s="1">
        <f t="shared" si="3"/>
        <v>16</v>
      </c>
    </row>
    <row r="11" spans="1:9" x14ac:dyDescent="0.25">
      <c r="A11" s="1">
        <v>74121</v>
      </c>
      <c r="B11" s="1">
        <f t="shared" si="0"/>
        <v>10</v>
      </c>
      <c r="C11" s="1">
        <v>3611</v>
      </c>
      <c r="D11" s="1">
        <f t="shared" si="1"/>
        <v>10</v>
      </c>
      <c r="E11" s="1">
        <f t="shared" si="2"/>
        <v>0</v>
      </c>
      <c r="F11" s="1">
        <f t="shared" si="3"/>
        <v>0</v>
      </c>
    </row>
    <row r="12" spans="1:9" x14ac:dyDescent="0.25">
      <c r="A12" s="1">
        <v>87352</v>
      </c>
      <c r="B12" s="1">
        <f t="shared" si="0"/>
        <v>11</v>
      </c>
      <c r="C12" s="1">
        <v>499</v>
      </c>
      <c r="D12" s="1">
        <f t="shared" si="1"/>
        <v>1</v>
      </c>
      <c r="E12" s="1">
        <f t="shared" si="2"/>
        <v>10</v>
      </c>
      <c r="F12" s="1">
        <f t="shared" si="3"/>
        <v>100</v>
      </c>
    </row>
    <row r="13" spans="1:9" x14ac:dyDescent="0.25">
      <c r="A13" s="1">
        <v>97624</v>
      </c>
      <c r="B13" s="1">
        <f t="shared" si="0"/>
        <v>12</v>
      </c>
      <c r="C13" s="1">
        <v>2067</v>
      </c>
      <c r="D13" s="1">
        <f t="shared" si="1"/>
        <v>6</v>
      </c>
      <c r="E13" s="1">
        <f t="shared" si="2"/>
        <v>6</v>
      </c>
      <c r="F13" s="1">
        <f t="shared" si="3"/>
        <v>36</v>
      </c>
    </row>
    <row r="14" spans="1:9" x14ac:dyDescent="0.25">
      <c r="A14" s="1">
        <v>98861</v>
      </c>
      <c r="B14" s="1">
        <f t="shared" si="0"/>
        <v>13</v>
      </c>
      <c r="C14" s="1">
        <v>10360</v>
      </c>
      <c r="D14" s="1">
        <f t="shared" si="1"/>
        <v>20</v>
      </c>
      <c r="E14" s="1">
        <f t="shared" si="2"/>
        <v>-7</v>
      </c>
      <c r="F14" s="1">
        <f t="shared" si="3"/>
        <v>49</v>
      </c>
    </row>
    <row r="15" spans="1:9" x14ac:dyDescent="0.25">
      <c r="A15" s="1">
        <v>122926</v>
      </c>
      <c r="B15" s="1">
        <f t="shared" si="0"/>
        <v>14</v>
      </c>
      <c r="C15" s="1">
        <v>10929</v>
      </c>
      <c r="D15" s="1">
        <f t="shared" si="1"/>
        <v>21</v>
      </c>
      <c r="E15" s="1">
        <f t="shared" si="2"/>
        <v>-7</v>
      </c>
      <c r="F15" s="1">
        <f t="shared" si="3"/>
        <v>49</v>
      </c>
    </row>
    <row r="16" spans="1:9" x14ac:dyDescent="0.25">
      <c r="A16" s="1">
        <v>130823</v>
      </c>
      <c r="B16" s="1">
        <f t="shared" si="0"/>
        <v>15</v>
      </c>
      <c r="C16" s="1">
        <v>14185</v>
      </c>
      <c r="D16" s="1">
        <f t="shared" si="1"/>
        <v>23</v>
      </c>
      <c r="E16" s="1">
        <f t="shared" si="2"/>
        <v>-8</v>
      </c>
      <c r="F16" s="1">
        <f t="shared" si="3"/>
        <v>64</v>
      </c>
    </row>
    <row r="17" spans="1:6" x14ac:dyDescent="0.25">
      <c r="A17" s="1">
        <v>135961</v>
      </c>
      <c r="B17" s="1">
        <f t="shared" si="0"/>
        <v>16</v>
      </c>
      <c r="C17" s="1">
        <v>4176</v>
      </c>
      <c r="D17" s="1">
        <f t="shared" si="1"/>
        <v>12</v>
      </c>
      <c r="E17" s="1">
        <f t="shared" si="2"/>
        <v>4</v>
      </c>
      <c r="F17" s="1">
        <f t="shared" si="3"/>
        <v>16</v>
      </c>
    </row>
    <row r="18" spans="1:6" x14ac:dyDescent="0.25">
      <c r="A18" s="1">
        <v>151266</v>
      </c>
      <c r="B18" s="1">
        <f t="shared" si="0"/>
        <v>17</v>
      </c>
      <c r="C18" s="1">
        <v>3976</v>
      </c>
      <c r="D18" s="1">
        <f t="shared" si="1"/>
        <v>11</v>
      </c>
      <c r="E18" s="1">
        <f t="shared" si="2"/>
        <v>6</v>
      </c>
      <c r="F18" s="1">
        <f t="shared" si="3"/>
        <v>36</v>
      </c>
    </row>
    <row r="19" spans="1:6" x14ac:dyDescent="0.25">
      <c r="A19" s="1">
        <v>198432</v>
      </c>
      <c r="B19" s="1">
        <f t="shared" si="0"/>
        <v>18</v>
      </c>
      <c r="C19" s="1">
        <v>4233</v>
      </c>
      <c r="D19" s="1">
        <f t="shared" si="1"/>
        <v>14</v>
      </c>
      <c r="E19" s="1">
        <f t="shared" si="2"/>
        <v>4</v>
      </c>
      <c r="F19" s="1">
        <f t="shared" si="3"/>
        <v>16</v>
      </c>
    </row>
    <row r="20" spans="1:6" x14ac:dyDescent="0.25">
      <c r="A20" s="1">
        <v>232006</v>
      </c>
      <c r="B20" s="1">
        <f t="shared" si="0"/>
        <v>19</v>
      </c>
      <c r="C20" s="1">
        <v>1025</v>
      </c>
      <c r="D20" s="1">
        <f t="shared" si="1"/>
        <v>3</v>
      </c>
      <c r="E20" s="1">
        <f t="shared" si="2"/>
        <v>16</v>
      </c>
      <c r="F20" s="1">
        <f t="shared" si="3"/>
        <v>256</v>
      </c>
    </row>
    <row r="21" spans="1:6" x14ac:dyDescent="0.25">
      <c r="A21" s="1">
        <v>261386</v>
      </c>
      <c r="B21" s="1">
        <f t="shared" si="0"/>
        <v>20</v>
      </c>
      <c r="C21" s="1">
        <v>6270</v>
      </c>
      <c r="D21" s="1">
        <v>17</v>
      </c>
      <c r="E21" s="1">
        <f t="shared" si="2"/>
        <v>3</v>
      </c>
      <c r="F21" s="39">
        <f t="shared" si="3"/>
        <v>9</v>
      </c>
    </row>
    <row r="22" spans="1:6" x14ac:dyDescent="0.25">
      <c r="A22" s="1">
        <v>334286</v>
      </c>
      <c r="B22" s="1">
        <f t="shared" si="0"/>
        <v>21</v>
      </c>
      <c r="C22" s="1">
        <v>16758</v>
      </c>
      <c r="D22" s="1">
        <f t="shared" si="1"/>
        <v>24</v>
      </c>
      <c r="E22" s="1">
        <f t="shared" si="2"/>
        <v>-3</v>
      </c>
      <c r="F22" s="1">
        <f t="shared" si="3"/>
        <v>9</v>
      </c>
    </row>
    <row r="23" spans="1:6" x14ac:dyDescent="0.25">
      <c r="A23" s="1">
        <v>380820</v>
      </c>
      <c r="B23" s="1">
        <f t="shared" si="0"/>
        <v>22</v>
      </c>
      <c r="C23" s="1">
        <v>86952</v>
      </c>
      <c r="D23" s="1">
        <f t="shared" si="1"/>
        <v>28</v>
      </c>
      <c r="E23" s="1">
        <f t="shared" si="2"/>
        <v>-6</v>
      </c>
      <c r="F23" s="1">
        <f t="shared" si="3"/>
        <v>36</v>
      </c>
    </row>
    <row r="24" spans="1:6" x14ac:dyDescent="0.25">
      <c r="A24" s="1">
        <v>420788</v>
      </c>
      <c r="B24" s="1">
        <f t="shared" si="0"/>
        <v>23</v>
      </c>
      <c r="C24" s="1">
        <v>27034</v>
      </c>
      <c r="D24" s="1">
        <f t="shared" si="1"/>
        <v>25</v>
      </c>
      <c r="E24" s="1">
        <f t="shared" si="2"/>
        <v>-2</v>
      </c>
      <c r="F24" s="1">
        <f t="shared" si="3"/>
        <v>4</v>
      </c>
    </row>
    <row r="25" spans="1:6" x14ac:dyDescent="0.25">
      <c r="A25" s="1">
        <v>483652</v>
      </c>
      <c r="B25" s="1">
        <f t="shared" si="0"/>
        <v>24</v>
      </c>
      <c r="C25" s="1">
        <v>14180</v>
      </c>
      <c r="D25" s="1">
        <f t="shared" si="1"/>
        <v>22</v>
      </c>
      <c r="E25" s="1">
        <f t="shared" si="2"/>
        <v>2</v>
      </c>
      <c r="F25" s="1">
        <f t="shared" si="3"/>
        <v>4</v>
      </c>
    </row>
    <row r="26" spans="1:6" x14ac:dyDescent="0.25">
      <c r="A26" s="1">
        <v>547203</v>
      </c>
      <c r="B26" s="1">
        <f t="shared" si="0"/>
        <v>25</v>
      </c>
      <c r="C26" s="1">
        <v>6024</v>
      </c>
      <c r="D26" s="1">
        <f t="shared" si="1"/>
        <v>16</v>
      </c>
      <c r="E26" s="1">
        <f t="shared" si="2"/>
        <v>9</v>
      </c>
      <c r="F26" s="1">
        <f t="shared" si="3"/>
        <v>81</v>
      </c>
    </row>
    <row r="27" spans="1:6" x14ac:dyDescent="0.25">
      <c r="A27" s="1">
        <v>1016286</v>
      </c>
      <c r="B27" s="1">
        <f t="shared" si="0"/>
        <v>26</v>
      </c>
      <c r="C27" s="1">
        <v>62439</v>
      </c>
      <c r="D27" s="1">
        <f t="shared" si="1"/>
        <v>27</v>
      </c>
      <c r="E27" s="1">
        <f t="shared" si="2"/>
        <v>-1</v>
      </c>
      <c r="F27" s="1">
        <f t="shared" si="3"/>
        <v>1</v>
      </c>
    </row>
    <row r="28" spans="1:6" x14ac:dyDescent="0.25">
      <c r="A28" s="1">
        <v>1024609</v>
      </c>
      <c r="B28" s="1">
        <f t="shared" si="0"/>
        <v>27</v>
      </c>
      <c r="C28" s="1">
        <v>45333</v>
      </c>
      <c r="D28" s="1">
        <f t="shared" si="1"/>
        <v>26</v>
      </c>
      <c r="E28" s="1">
        <f t="shared" si="2"/>
        <v>1</v>
      </c>
      <c r="F28" s="1">
        <f t="shared" si="3"/>
        <v>1</v>
      </c>
    </row>
    <row r="29" spans="1:6" x14ac:dyDescent="0.25">
      <c r="A29" s="1">
        <v>1330998</v>
      </c>
      <c r="B29" s="1">
        <f t="shared" si="0"/>
        <v>28</v>
      </c>
      <c r="C29" s="1">
        <v>2093</v>
      </c>
      <c r="D29" s="1">
        <f t="shared" si="1"/>
        <v>7</v>
      </c>
      <c r="E29" s="1">
        <f t="shared" si="2"/>
        <v>21</v>
      </c>
      <c r="F29" s="1">
        <f t="shared" si="3"/>
        <v>441</v>
      </c>
    </row>
    <row r="30" spans="1:6" x14ac:dyDescent="0.25">
      <c r="F30" s="13">
        <f>SUM(F2:F29)</f>
        <v>1608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10F8-0AD6-47BA-B352-63F4127F4467}">
  <dimension ref="A1:X146"/>
  <sheetViews>
    <sheetView zoomScale="66" workbookViewId="0">
      <selection activeCell="O34" sqref="O34"/>
    </sheetView>
  </sheetViews>
  <sheetFormatPr defaultColWidth="15.28515625" defaultRowHeight="15" x14ac:dyDescent="0.25"/>
  <cols>
    <col min="1" max="6" width="9" customWidth="1"/>
    <col min="16" max="16" width="28.85546875" style="5" bestFit="1" customWidth="1"/>
    <col min="17" max="17" width="16.85546875" style="5" bestFit="1" customWidth="1"/>
    <col min="18" max="18" width="23.28515625" style="5" bestFit="1" customWidth="1"/>
    <col min="19" max="19" width="15.5703125" style="5" bestFit="1" customWidth="1"/>
    <col min="20" max="20" width="12.85546875" style="5" bestFit="1" customWidth="1"/>
    <col min="21" max="21" width="15" style="5" bestFit="1" customWidth="1"/>
    <col min="22" max="22" width="13.42578125" style="5" bestFit="1" customWidth="1"/>
    <col min="23" max="23" width="15.140625" style="5" bestFit="1" customWidth="1"/>
    <col min="24" max="24" width="15.28515625" style="5"/>
  </cols>
  <sheetData>
    <row r="1" spans="1:24" x14ac:dyDescent="0.25">
      <c r="A1" s="3" t="s">
        <v>20</v>
      </c>
      <c r="B1" s="3" t="s">
        <v>78</v>
      </c>
      <c r="C1" s="3" t="s">
        <v>79</v>
      </c>
      <c r="D1" s="3" t="s">
        <v>80</v>
      </c>
      <c r="E1" s="3" t="s">
        <v>82</v>
      </c>
      <c r="F1" s="3" t="s">
        <v>81</v>
      </c>
      <c r="H1" s="8">
        <v>-1</v>
      </c>
      <c r="I1" s="8">
        <v>-0.5</v>
      </c>
      <c r="J1" s="8">
        <v>-0.25</v>
      </c>
      <c r="K1" s="8">
        <v>0.25</v>
      </c>
      <c r="L1" s="8">
        <v>0.5</v>
      </c>
      <c r="M1" s="8">
        <v>1</v>
      </c>
      <c r="N1" s="8">
        <v>1.5</v>
      </c>
      <c r="P1" s="117" t="s">
        <v>201</v>
      </c>
      <c r="Q1" s="117"/>
      <c r="R1" s="117"/>
      <c r="S1" s="117"/>
      <c r="T1" s="117"/>
      <c r="U1" s="117"/>
      <c r="V1" s="117"/>
      <c r="W1" s="117"/>
      <c r="X1" s="117"/>
    </row>
    <row r="2" spans="1:24" x14ac:dyDescent="0.25">
      <c r="A2" s="1">
        <v>13746</v>
      </c>
      <c r="B2" s="1">
        <f>_xlfn.RANK.AVG(A2,$A$2:$A$29,1)</f>
        <v>1</v>
      </c>
      <c r="C2" s="1">
        <v>547</v>
      </c>
      <c r="D2" s="1">
        <f t="shared" ref="D2:D8" si="0">_xlfn.RANK.AVG(C2,$C$2:$C$29,1)</f>
        <v>2</v>
      </c>
      <c r="E2" s="1">
        <f t="shared" ref="E2:E29" si="1">B2 - D2</f>
        <v>-1</v>
      </c>
      <c r="F2" s="1">
        <f>E2^2</f>
        <v>1</v>
      </c>
      <c r="H2" s="72">
        <f>$A2^(-1)</f>
        <v>7.2748435908627962E-5</v>
      </c>
      <c r="I2" s="41">
        <f>$A2^(-0.5)</f>
        <v>8.529269365463138E-3</v>
      </c>
      <c r="J2" s="40">
        <f>$A2^(-0.25)</f>
        <v>9.2354043579386078E-2</v>
      </c>
      <c r="K2" s="40">
        <f>$A2^(0.25)</f>
        <v>10.827896226767979</v>
      </c>
      <c r="L2" s="40">
        <f>$A2^(0.5)</f>
        <v>117.2433366976563</v>
      </c>
      <c r="M2" s="40">
        <f>$A2^(1)</f>
        <v>13746</v>
      </c>
      <c r="N2" s="40">
        <f>$A2^(1.5)</f>
        <v>1611626.906245983</v>
      </c>
    </row>
    <row r="3" spans="1:24" x14ac:dyDescent="0.25">
      <c r="A3" s="1">
        <v>14386</v>
      </c>
      <c r="B3" s="1">
        <f t="shared" ref="B3:B29" si="2">_xlfn.RANK.AVG(A3,$A$2:$A$29,1)</f>
        <v>2</v>
      </c>
      <c r="C3" s="1">
        <v>1130</v>
      </c>
      <c r="D3" s="1">
        <f t="shared" si="0"/>
        <v>4</v>
      </c>
      <c r="E3" s="1">
        <f t="shared" si="1"/>
        <v>-2</v>
      </c>
      <c r="F3" s="1">
        <f t="shared" ref="F3:F29" si="3">E3^2</f>
        <v>4</v>
      </c>
      <c r="H3" s="72">
        <f t="shared" ref="H3:H29" si="4">$A3^(-1)</f>
        <v>6.9512025580425413E-5</v>
      </c>
      <c r="I3" s="41">
        <f t="shared" ref="I3:I29" si="5">$A3^(-0.5)</f>
        <v>8.337387215454576E-3</v>
      </c>
      <c r="J3" s="40">
        <f t="shared" ref="J3:J29" si="6">$A3^(-0.25)</f>
        <v>9.1309294244641806E-2</v>
      </c>
      <c r="K3" s="40">
        <f t="shared" ref="K3:K29" si="7">$A3^(0.25)</f>
        <v>10.951787638624552</v>
      </c>
      <c r="L3" s="40">
        <f t="shared" ref="L3:L29" si="8">$A3^(0.5)</f>
        <v>119.94165248152953</v>
      </c>
      <c r="M3" s="40">
        <f t="shared" ref="M3:M29" si="9">$A3^(1)</f>
        <v>14386</v>
      </c>
      <c r="N3" s="40">
        <f t="shared" ref="N3:N29" si="10">$A3^(1.5)</f>
        <v>1725480.6125992844</v>
      </c>
      <c r="P3" s="5" t="s">
        <v>24</v>
      </c>
    </row>
    <row r="4" spans="1:24" ht="15.75" thickBot="1" x14ac:dyDescent="0.3">
      <c r="A4" s="1">
        <v>24646</v>
      </c>
      <c r="B4" s="1">
        <f t="shared" si="2"/>
        <v>3</v>
      </c>
      <c r="C4" s="1">
        <v>2620</v>
      </c>
      <c r="D4" s="1">
        <f t="shared" si="0"/>
        <v>8</v>
      </c>
      <c r="E4" s="1">
        <f t="shared" si="1"/>
        <v>-5</v>
      </c>
      <c r="F4" s="1">
        <f t="shared" si="3"/>
        <v>25</v>
      </c>
      <c r="H4" s="72">
        <f t="shared" si="4"/>
        <v>4.0574535421569421E-5</v>
      </c>
      <c r="I4" s="41">
        <f t="shared" si="5"/>
        <v>6.3698143945934106E-3</v>
      </c>
      <c r="J4" s="40">
        <f t="shared" si="6"/>
        <v>7.9811116986253317E-2</v>
      </c>
      <c r="K4" s="40">
        <f t="shared" si="7"/>
        <v>12.529582817043398</v>
      </c>
      <c r="L4" s="40">
        <f t="shared" si="8"/>
        <v>156.99044556914922</v>
      </c>
      <c r="M4" s="40">
        <f t="shared" si="9"/>
        <v>24646</v>
      </c>
      <c r="N4" s="40">
        <f t="shared" si="10"/>
        <v>3869186.521497251</v>
      </c>
    </row>
    <row r="5" spans="1:24" x14ac:dyDescent="0.25">
      <c r="A5" s="1">
        <v>41506</v>
      </c>
      <c r="B5" s="1">
        <f t="shared" si="2"/>
        <v>4</v>
      </c>
      <c r="C5" s="1">
        <v>1417</v>
      </c>
      <c r="D5" s="1">
        <f t="shared" si="0"/>
        <v>5</v>
      </c>
      <c r="E5" s="1">
        <f t="shared" si="1"/>
        <v>-1</v>
      </c>
      <c r="F5" s="1">
        <f t="shared" si="3"/>
        <v>1</v>
      </c>
      <c r="H5" s="72">
        <f t="shared" si="4"/>
        <v>2.4092902231002747E-5</v>
      </c>
      <c r="I5" s="41">
        <f t="shared" si="5"/>
        <v>4.9084521216981166E-3</v>
      </c>
      <c r="J5" s="40">
        <f t="shared" si="6"/>
        <v>7.0060346285884992E-2</v>
      </c>
      <c r="K5" s="40">
        <f t="shared" si="7"/>
        <v>14.273409325147302</v>
      </c>
      <c r="L5" s="40">
        <f t="shared" si="8"/>
        <v>203.73021376320204</v>
      </c>
      <c r="M5" s="40">
        <f t="shared" si="9"/>
        <v>41506</v>
      </c>
      <c r="N5" s="40">
        <f t="shared" si="10"/>
        <v>8456026.2524554543</v>
      </c>
      <c r="P5" s="75" t="s">
        <v>25</v>
      </c>
      <c r="Q5" s="75"/>
    </row>
    <row r="6" spans="1:24" x14ac:dyDescent="0.25">
      <c r="A6" s="1">
        <v>44753</v>
      </c>
      <c r="B6" s="1">
        <f t="shared" si="2"/>
        <v>5</v>
      </c>
      <c r="C6" s="1">
        <v>5955</v>
      </c>
      <c r="D6" s="1">
        <f t="shared" si="0"/>
        <v>15</v>
      </c>
      <c r="E6" s="1">
        <f t="shared" si="1"/>
        <v>-10</v>
      </c>
      <c r="F6" s="1">
        <f t="shared" si="3"/>
        <v>100</v>
      </c>
      <c r="H6" s="72">
        <f t="shared" si="4"/>
        <v>2.2344870734922798E-5</v>
      </c>
      <c r="I6" s="41">
        <f t="shared" si="5"/>
        <v>4.7270361469871165E-3</v>
      </c>
      <c r="J6" s="40">
        <f t="shared" si="6"/>
        <v>6.8753444619067031E-2</v>
      </c>
      <c r="K6" s="40">
        <f t="shared" si="7"/>
        <v>14.544725803057078</v>
      </c>
      <c r="L6" s="40">
        <f t="shared" si="8"/>
        <v>211.54904868611439</v>
      </c>
      <c r="M6" s="40">
        <f t="shared" si="9"/>
        <v>44753</v>
      </c>
      <c r="N6" s="40">
        <f t="shared" si="10"/>
        <v>9467454.5758496746</v>
      </c>
      <c r="P6" s="5" t="s">
        <v>26</v>
      </c>
      <c r="Q6" s="5">
        <v>0.33330716543628514</v>
      </c>
    </row>
    <row r="7" spans="1:24" x14ac:dyDescent="0.25">
      <c r="A7" s="1">
        <v>50919</v>
      </c>
      <c r="B7" s="1">
        <f t="shared" si="2"/>
        <v>6</v>
      </c>
      <c r="C7" s="1">
        <v>2629</v>
      </c>
      <c r="D7" s="1">
        <f t="shared" si="0"/>
        <v>9</v>
      </c>
      <c r="E7" s="1">
        <f t="shared" si="1"/>
        <v>-3</v>
      </c>
      <c r="F7" s="1">
        <f t="shared" si="3"/>
        <v>9</v>
      </c>
      <c r="H7" s="72">
        <f t="shared" si="4"/>
        <v>1.9639034545061764E-5</v>
      </c>
      <c r="I7" s="41">
        <f t="shared" si="5"/>
        <v>4.4315950339648327E-3</v>
      </c>
      <c r="J7" s="40">
        <f t="shared" si="6"/>
        <v>6.6570226332534219E-2</v>
      </c>
      <c r="K7" s="40">
        <f t="shared" si="7"/>
        <v>15.021730510645414</v>
      </c>
      <c r="L7" s="40">
        <f t="shared" si="8"/>
        <v>225.6523875344553</v>
      </c>
      <c r="M7" s="40">
        <f t="shared" si="9"/>
        <v>50919</v>
      </c>
      <c r="N7" s="40">
        <f t="shared" si="10"/>
        <v>11489993.920866935</v>
      </c>
      <c r="P7" s="5" t="s">
        <v>27</v>
      </c>
      <c r="Q7" s="77">
        <v>0.11109366653117116</v>
      </c>
    </row>
    <row r="8" spans="1:24" x14ac:dyDescent="0.25">
      <c r="A8" s="1">
        <v>52662</v>
      </c>
      <c r="B8" s="1">
        <f t="shared" si="2"/>
        <v>7</v>
      </c>
      <c r="C8" s="1">
        <v>6768</v>
      </c>
      <c r="D8" s="1">
        <f t="shared" si="0"/>
        <v>19</v>
      </c>
      <c r="E8" s="1">
        <f t="shared" si="1"/>
        <v>-12</v>
      </c>
      <c r="F8" s="1">
        <f t="shared" si="3"/>
        <v>144</v>
      </c>
      <c r="H8" s="72">
        <f t="shared" si="4"/>
        <v>1.898902434392921E-5</v>
      </c>
      <c r="I8" s="41">
        <f t="shared" si="5"/>
        <v>4.3576397675724882E-3</v>
      </c>
      <c r="J8" s="40">
        <f t="shared" si="6"/>
        <v>6.601242131275363E-2</v>
      </c>
      <c r="K8" s="40">
        <f t="shared" si="7"/>
        <v>15.148664147042878</v>
      </c>
      <c r="L8" s="40">
        <f t="shared" si="8"/>
        <v>229.48202543990237</v>
      </c>
      <c r="M8" s="40">
        <f t="shared" si="9"/>
        <v>52662</v>
      </c>
      <c r="N8" s="40">
        <f t="shared" si="10"/>
        <v>12084982.423716133</v>
      </c>
      <c r="P8" s="5" t="s">
        <v>28</v>
      </c>
      <c r="Q8" s="5">
        <v>7.690496139775467E-2</v>
      </c>
    </row>
    <row r="9" spans="1:24" x14ac:dyDescent="0.25">
      <c r="A9" s="1">
        <v>71039</v>
      </c>
      <c r="B9" s="1">
        <f t="shared" si="2"/>
        <v>8</v>
      </c>
      <c r="C9" s="1">
        <v>6264</v>
      </c>
      <c r="D9" s="1">
        <v>18</v>
      </c>
      <c r="E9" s="1">
        <f t="shared" si="1"/>
        <v>-10</v>
      </c>
      <c r="F9" s="39">
        <f t="shared" si="3"/>
        <v>100</v>
      </c>
      <c r="H9" s="72">
        <f t="shared" si="4"/>
        <v>1.4076774729374005E-5</v>
      </c>
      <c r="I9" s="41">
        <f t="shared" si="5"/>
        <v>3.7519028144894699E-3</v>
      </c>
      <c r="J9" s="40">
        <f t="shared" si="6"/>
        <v>6.1252778014466165E-2</v>
      </c>
      <c r="K9" s="40">
        <f t="shared" si="7"/>
        <v>16.325790150510862</v>
      </c>
      <c r="L9" s="40">
        <f t="shared" si="8"/>
        <v>266.53142403851746</v>
      </c>
      <c r="M9" s="40">
        <f t="shared" si="9"/>
        <v>71039</v>
      </c>
      <c r="N9" s="40">
        <f t="shared" si="10"/>
        <v>18934125.832272269</v>
      </c>
      <c r="P9" s="5" t="s">
        <v>29</v>
      </c>
      <c r="Q9" s="5">
        <v>19386.117998157086</v>
      </c>
    </row>
    <row r="10" spans="1:24" ht="15.75" thickBot="1" x14ac:dyDescent="0.3">
      <c r="A10" s="1">
        <v>72608</v>
      </c>
      <c r="B10" s="1">
        <f t="shared" si="2"/>
        <v>9</v>
      </c>
      <c r="C10" s="1">
        <v>4227</v>
      </c>
      <c r="D10" s="1">
        <f t="shared" ref="D10:D20" si="11">_xlfn.RANK.AVG(C10,$C$2:$C$29,1)</f>
        <v>13</v>
      </c>
      <c r="E10" s="1">
        <f t="shared" si="1"/>
        <v>-4</v>
      </c>
      <c r="F10" s="1">
        <f t="shared" si="3"/>
        <v>16</v>
      </c>
      <c r="H10" s="72">
        <f t="shared" si="4"/>
        <v>1.3772587042750111E-5</v>
      </c>
      <c r="I10" s="41">
        <f t="shared" si="5"/>
        <v>3.7111436300351014E-3</v>
      </c>
      <c r="J10" s="40">
        <f t="shared" si="6"/>
        <v>6.0919156511191952E-2</v>
      </c>
      <c r="K10" s="40">
        <f t="shared" si="7"/>
        <v>16.415197735317985</v>
      </c>
      <c r="L10" s="40">
        <f t="shared" si="8"/>
        <v>269.45871668958864</v>
      </c>
      <c r="M10" s="40">
        <f t="shared" si="9"/>
        <v>72608</v>
      </c>
      <c r="N10" s="40">
        <f>$A10^(1.5)</f>
        <v>19564858.50139768</v>
      </c>
      <c r="P10" s="12" t="s">
        <v>30</v>
      </c>
      <c r="Q10" s="12">
        <v>28</v>
      </c>
    </row>
    <row r="11" spans="1:24" x14ac:dyDescent="0.25">
      <c r="A11" s="1">
        <v>74121</v>
      </c>
      <c r="B11" s="1">
        <f t="shared" si="2"/>
        <v>10</v>
      </c>
      <c r="C11" s="1">
        <v>3611</v>
      </c>
      <c r="D11" s="1">
        <f t="shared" si="11"/>
        <v>10</v>
      </c>
      <c r="E11" s="1">
        <f t="shared" si="1"/>
        <v>0</v>
      </c>
      <c r="F11" s="1">
        <f t="shared" si="3"/>
        <v>0</v>
      </c>
      <c r="H11" s="72">
        <f t="shared" si="4"/>
        <v>1.349145316442034E-5</v>
      </c>
      <c r="I11" s="41">
        <f t="shared" si="5"/>
        <v>3.673071353026012E-3</v>
      </c>
      <c r="J11" s="40">
        <f t="shared" si="6"/>
        <v>6.0605868965191899E-2</v>
      </c>
      <c r="K11" s="40">
        <f t="shared" si="7"/>
        <v>16.500052174391485</v>
      </c>
      <c r="L11" s="40">
        <f t="shared" si="8"/>
        <v>272.25172175764106</v>
      </c>
      <c r="M11" s="40">
        <f t="shared" si="9"/>
        <v>74121</v>
      </c>
      <c r="N11" s="40">
        <f t="shared" si="10"/>
        <v>20179569.868398163</v>
      </c>
    </row>
    <row r="12" spans="1:24" ht="15.75" thickBot="1" x14ac:dyDescent="0.3">
      <c r="A12" s="1">
        <v>87352</v>
      </c>
      <c r="B12" s="1">
        <f t="shared" si="2"/>
        <v>11</v>
      </c>
      <c r="C12" s="1">
        <v>499</v>
      </c>
      <c r="D12" s="1">
        <f t="shared" si="11"/>
        <v>1</v>
      </c>
      <c r="E12" s="1">
        <f t="shared" si="1"/>
        <v>10</v>
      </c>
      <c r="F12" s="1">
        <f t="shared" si="3"/>
        <v>100</v>
      </c>
      <c r="H12" s="72">
        <f t="shared" si="4"/>
        <v>1.1447934792563422E-5</v>
      </c>
      <c r="I12" s="41">
        <f t="shared" si="5"/>
        <v>3.3834796870327775E-3</v>
      </c>
      <c r="J12" s="40">
        <f t="shared" si="6"/>
        <v>5.8167685934999838E-2</v>
      </c>
      <c r="K12" s="40">
        <f t="shared" si="7"/>
        <v>17.191675823539924</v>
      </c>
      <c r="L12" s="40">
        <f t="shared" si="8"/>
        <v>295.55371762168716</v>
      </c>
      <c r="M12" s="40">
        <f t="shared" si="9"/>
        <v>87352</v>
      </c>
      <c r="N12" s="40">
        <f t="shared" si="10"/>
        <v>25817208.341689572</v>
      </c>
      <c r="P12" s="5" t="s">
        <v>31</v>
      </c>
    </row>
    <row r="13" spans="1:24" x14ac:dyDescent="0.25">
      <c r="A13" s="1">
        <v>97624</v>
      </c>
      <c r="B13" s="1">
        <f t="shared" si="2"/>
        <v>12</v>
      </c>
      <c r="C13" s="1">
        <v>2067</v>
      </c>
      <c r="D13" s="1">
        <f t="shared" si="11"/>
        <v>6</v>
      </c>
      <c r="E13" s="1">
        <f t="shared" si="1"/>
        <v>6</v>
      </c>
      <c r="F13" s="1">
        <f t="shared" si="3"/>
        <v>36</v>
      </c>
      <c r="H13" s="72">
        <f t="shared" si="4"/>
        <v>1.0243382774727526E-5</v>
      </c>
      <c r="I13" s="41">
        <f t="shared" si="5"/>
        <v>3.2005285149061752E-3</v>
      </c>
      <c r="J13" s="40">
        <f t="shared" si="6"/>
        <v>5.6573213757980682E-2</v>
      </c>
      <c r="K13" s="40">
        <f t="shared" si="7"/>
        <v>17.676209880491928</v>
      </c>
      <c r="L13" s="40">
        <f t="shared" si="8"/>
        <v>312.44839573920041</v>
      </c>
      <c r="M13" s="40">
        <f t="shared" si="9"/>
        <v>97624</v>
      </c>
      <c r="N13" s="40">
        <f t="shared" si="10"/>
        <v>30502462.18564374</v>
      </c>
      <c r="P13" s="75"/>
      <c r="Q13" s="75" t="s">
        <v>36</v>
      </c>
      <c r="R13" s="75" t="s">
        <v>37</v>
      </c>
      <c r="S13" s="75" t="s">
        <v>38</v>
      </c>
      <c r="T13" s="75" t="s">
        <v>39</v>
      </c>
      <c r="U13" s="75" t="s">
        <v>40</v>
      </c>
    </row>
    <row r="14" spans="1:24" x14ac:dyDescent="0.25">
      <c r="A14" s="1">
        <v>98861</v>
      </c>
      <c r="B14" s="1">
        <f t="shared" si="2"/>
        <v>13</v>
      </c>
      <c r="C14" s="1">
        <v>10360</v>
      </c>
      <c r="D14" s="1">
        <f t="shared" si="11"/>
        <v>20</v>
      </c>
      <c r="E14" s="1">
        <f t="shared" si="1"/>
        <v>-7</v>
      </c>
      <c r="F14" s="1">
        <f t="shared" si="3"/>
        <v>49</v>
      </c>
      <c r="H14" s="72">
        <f t="shared" si="4"/>
        <v>1.0115212267729438E-5</v>
      </c>
      <c r="I14" s="41">
        <f t="shared" si="5"/>
        <v>3.1804421497221794E-3</v>
      </c>
      <c r="J14" s="40">
        <f t="shared" si="6"/>
        <v>5.6395408941882656E-2</v>
      </c>
      <c r="K14" s="40">
        <f t="shared" si="7"/>
        <v>17.731939864653402</v>
      </c>
      <c r="L14" s="40">
        <f t="shared" si="8"/>
        <v>314.42169136368437</v>
      </c>
      <c r="M14" s="40">
        <f t="shared" si="9"/>
        <v>98861</v>
      </c>
      <c r="N14" s="40">
        <f t="shared" si="10"/>
        <v>31084042.829905201</v>
      </c>
      <c r="P14" s="5" t="s">
        <v>32</v>
      </c>
      <c r="Q14" s="5">
        <v>1</v>
      </c>
      <c r="R14" s="5">
        <v>1221204375.1069202</v>
      </c>
      <c r="S14" s="5">
        <v>1221204375.1069202</v>
      </c>
      <c r="T14" s="5">
        <v>3.2494259755566683</v>
      </c>
      <c r="U14" s="5">
        <v>8.305301592316866E-2</v>
      </c>
    </row>
    <row r="15" spans="1:24" x14ac:dyDescent="0.25">
      <c r="A15" s="1">
        <v>122926</v>
      </c>
      <c r="B15" s="1">
        <f t="shared" si="2"/>
        <v>14</v>
      </c>
      <c r="C15" s="1">
        <v>10929</v>
      </c>
      <c r="D15" s="1">
        <f t="shared" si="11"/>
        <v>21</v>
      </c>
      <c r="E15" s="1">
        <f t="shared" si="1"/>
        <v>-7</v>
      </c>
      <c r="F15" s="1">
        <f t="shared" si="3"/>
        <v>49</v>
      </c>
      <c r="H15" s="72">
        <f t="shared" si="4"/>
        <v>8.1349755137237029E-6</v>
      </c>
      <c r="I15" s="41">
        <f t="shared" si="5"/>
        <v>2.8521878468508528E-3</v>
      </c>
      <c r="J15" s="40">
        <f t="shared" si="6"/>
        <v>5.3405878392278616E-2</v>
      </c>
      <c r="K15" s="40">
        <f t="shared" si="7"/>
        <v>18.724530521804493</v>
      </c>
      <c r="L15" s="40">
        <f t="shared" si="8"/>
        <v>350.60804326198792</v>
      </c>
      <c r="M15" s="40">
        <f t="shared" si="9"/>
        <v>122926</v>
      </c>
      <c r="N15" s="40">
        <f t="shared" si="10"/>
        <v>43098844.326023251</v>
      </c>
      <c r="P15" s="5" t="s">
        <v>33</v>
      </c>
      <c r="Q15" s="5">
        <v>26</v>
      </c>
      <c r="R15" s="5">
        <v>9771360847.0002213</v>
      </c>
      <c r="S15" s="5">
        <v>375821571.03847003</v>
      </c>
    </row>
    <row r="16" spans="1:24" ht="15.75" thickBot="1" x14ac:dyDescent="0.3">
      <c r="A16" s="1">
        <v>130823</v>
      </c>
      <c r="B16" s="1">
        <f t="shared" si="2"/>
        <v>15</v>
      </c>
      <c r="C16" s="1">
        <v>14185</v>
      </c>
      <c r="D16" s="1">
        <f t="shared" si="11"/>
        <v>23</v>
      </c>
      <c r="E16" s="1">
        <f t="shared" si="1"/>
        <v>-8</v>
      </c>
      <c r="F16" s="1">
        <f t="shared" si="3"/>
        <v>64</v>
      </c>
      <c r="H16" s="72">
        <f t="shared" si="4"/>
        <v>7.6439158251989324E-6</v>
      </c>
      <c r="I16" s="41">
        <f t="shared" si="5"/>
        <v>2.764763249393867E-3</v>
      </c>
      <c r="J16" s="40">
        <f t="shared" si="6"/>
        <v>5.2581016055168295E-2</v>
      </c>
      <c r="K16" s="40">
        <f t="shared" si="7"/>
        <v>19.018270756707981</v>
      </c>
      <c r="L16" s="40">
        <f t="shared" si="8"/>
        <v>361.69462257545382</v>
      </c>
      <c r="M16" s="40">
        <f t="shared" si="9"/>
        <v>130823</v>
      </c>
      <c r="N16" s="40">
        <f t="shared" si="10"/>
        <v>47317975.609188735</v>
      </c>
      <c r="P16" s="12" t="s">
        <v>34</v>
      </c>
      <c r="Q16" s="12">
        <v>27</v>
      </c>
      <c r="R16" s="12">
        <v>10992565222.107141</v>
      </c>
      <c r="S16" s="12"/>
      <c r="T16" s="12"/>
      <c r="U16" s="12"/>
    </row>
    <row r="17" spans="1:24" ht="15.75" thickBot="1" x14ac:dyDescent="0.3">
      <c r="A17" s="1">
        <v>135961</v>
      </c>
      <c r="B17" s="1">
        <f t="shared" si="2"/>
        <v>16</v>
      </c>
      <c r="C17" s="1">
        <v>4176</v>
      </c>
      <c r="D17" s="1">
        <f t="shared" si="11"/>
        <v>12</v>
      </c>
      <c r="E17" s="1">
        <f t="shared" si="1"/>
        <v>4</v>
      </c>
      <c r="F17" s="1">
        <f t="shared" si="3"/>
        <v>16</v>
      </c>
      <c r="H17" s="72">
        <f t="shared" si="4"/>
        <v>7.3550503453196134E-6</v>
      </c>
      <c r="I17" s="41">
        <f t="shared" si="5"/>
        <v>2.7120196063671097E-3</v>
      </c>
      <c r="J17" s="40">
        <f t="shared" si="6"/>
        <v>5.207705450932406E-2</v>
      </c>
      <c r="K17" s="40">
        <f t="shared" si="7"/>
        <v>19.202314904752466</v>
      </c>
      <c r="L17" s="40">
        <f t="shared" si="8"/>
        <v>368.72889770127864</v>
      </c>
      <c r="M17" s="40">
        <f t="shared" si="9"/>
        <v>135961</v>
      </c>
      <c r="N17" s="40">
        <f t="shared" si="10"/>
        <v>50132749.660363667</v>
      </c>
    </row>
    <row r="18" spans="1:24" x14ac:dyDescent="0.25">
      <c r="A18" s="1">
        <v>151266</v>
      </c>
      <c r="B18" s="1">
        <f t="shared" si="2"/>
        <v>17</v>
      </c>
      <c r="C18" s="1">
        <v>3976</v>
      </c>
      <c r="D18" s="1">
        <f t="shared" si="11"/>
        <v>11</v>
      </c>
      <c r="E18" s="1">
        <f t="shared" si="1"/>
        <v>6</v>
      </c>
      <c r="F18" s="1">
        <f t="shared" si="3"/>
        <v>36</v>
      </c>
      <c r="H18" s="72">
        <f t="shared" si="4"/>
        <v>6.6108709161344915E-6</v>
      </c>
      <c r="I18" s="41">
        <f t="shared" si="5"/>
        <v>2.5711613944158565E-3</v>
      </c>
      <c r="J18" s="40">
        <f t="shared" si="6"/>
        <v>5.0706620814405058E-2</v>
      </c>
      <c r="K18" s="40">
        <f t="shared" si="7"/>
        <v>19.721290512735443</v>
      </c>
      <c r="L18" s="40">
        <f t="shared" si="8"/>
        <v>388.92929948770893</v>
      </c>
      <c r="M18" s="40">
        <f t="shared" si="9"/>
        <v>151266</v>
      </c>
      <c r="N18" s="40">
        <f t="shared" si="10"/>
        <v>58831779.416307747</v>
      </c>
      <c r="P18" s="75"/>
      <c r="Q18" s="75" t="s">
        <v>41</v>
      </c>
      <c r="R18" s="75" t="s">
        <v>29</v>
      </c>
      <c r="S18" s="75" t="s">
        <v>42</v>
      </c>
      <c r="T18" s="75" t="s">
        <v>43</v>
      </c>
      <c r="U18" s="75" t="s">
        <v>44</v>
      </c>
      <c r="V18" s="75" t="s">
        <v>45</v>
      </c>
      <c r="W18" s="75" t="s">
        <v>46</v>
      </c>
      <c r="X18" s="75" t="s">
        <v>47</v>
      </c>
    </row>
    <row r="19" spans="1:24" x14ac:dyDescent="0.25">
      <c r="A19" s="1">
        <v>198432</v>
      </c>
      <c r="B19" s="1">
        <f t="shared" si="2"/>
        <v>18</v>
      </c>
      <c r="C19" s="1">
        <v>4233</v>
      </c>
      <c r="D19" s="1">
        <f t="shared" si="11"/>
        <v>14</v>
      </c>
      <c r="E19" s="1">
        <f t="shared" si="1"/>
        <v>4</v>
      </c>
      <c r="F19" s="1">
        <f t="shared" si="3"/>
        <v>16</v>
      </c>
      <c r="H19" s="72">
        <f t="shared" si="4"/>
        <v>5.0395097564908886E-6</v>
      </c>
      <c r="I19" s="41">
        <f t="shared" si="5"/>
        <v>2.2448852435015222E-3</v>
      </c>
      <c r="J19" s="40">
        <f t="shared" si="6"/>
        <v>4.7380219960459477E-2</v>
      </c>
      <c r="K19" s="40">
        <f t="shared" si="7"/>
        <v>21.105853895033338</v>
      </c>
      <c r="L19" s="40">
        <f t="shared" si="8"/>
        <v>445.45706863849404</v>
      </c>
      <c r="M19" s="40">
        <f t="shared" si="9"/>
        <v>198432</v>
      </c>
      <c r="N19" s="40">
        <f t="shared" si="10"/>
        <v>88392937.044073582</v>
      </c>
      <c r="P19" s="5" t="s">
        <v>35</v>
      </c>
      <c r="Q19" s="5">
        <v>17834.220242691012</v>
      </c>
      <c r="R19" s="5">
        <v>4663.7114525695733</v>
      </c>
      <c r="S19" s="5">
        <v>3.8240402357793513</v>
      </c>
      <c r="T19" s="5">
        <v>7.3852495366510354E-4</v>
      </c>
      <c r="U19" s="5">
        <v>8247.8240585983385</v>
      </c>
      <c r="V19" s="5">
        <v>27420.616426783687</v>
      </c>
      <c r="W19" s="5">
        <v>8247.8240585983385</v>
      </c>
      <c r="X19" s="5">
        <v>27420.616426783687</v>
      </c>
    </row>
    <row r="20" spans="1:24" ht="15.75" thickBot="1" x14ac:dyDescent="0.3">
      <c r="A20" s="1">
        <v>232006</v>
      </c>
      <c r="B20" s="1">
        <f t="shared" si="2"/>
        <v>19</v>
      </c>
      <c r="C20" s="1">
        <v>1025</v>
      </c>
      <c r="D20" s="1">
        <f t="shared" si="11"/>
        <v>3</v>
      </c>
      <c r="E20" s="1">
        <f t="shared" si="1"/>
        <v>16</v>
      </c>
      <c r="F20" s="1">
        <f t="shared" si="3"/>
        <v>256</v>
      </c>
      <c r="H20" s="72">
        <f t="shared" si="4"/>
        <v>4.3102333560338958E-6</v>
      </c>
      <c r="I20" s="41">
        <f t="shared" si="5"/>
        <v>2.0761101502651288E-3</v>
      </c>
      <c r="J20" s="40">
        <f t="shared" si="6"/>
        <v>4.5564351748544916E-2</v>
      </c>
      <c r="K20" s="40">
        <f t="shared" si="7"/>
        <v>21.946981831732845</v>
      </c>
      <c r="L20" s="40">
        <f t="shared" si="8"/>
        <v>481.67001152241147</v>
      </c>
      <c r="M20" s="40">
        <f t="shared" si="9"/>
        <v>232006</v>
      </c>
      <c r="N20" s="40">
        <f t="shared" si="10"/>
        <v>111750332.69326864</v>
      </c>
      <c r="P20" s="12" t="s">
        <v>48</v>
      </c>
      <c r="Q20" s="78">
        <v>-365450594.16054165</v>
      </c>
      <c r="R20" s="78">
        <v>202733420.76502162</v>
      </c>
      <c r="S20" s="78">
        <v>-1.8026164249658547</v>
      </c>
      <c r="T20" s="12">
        <v>8.3053015923168216E-2</v>
      </c>
      <c r="U20" s="12">
        <v>-782175108.73981595</v>
      </c>
      <c r="V20" s="12">
        <v>51273920.418732643</v>
      </c>
      <c r="W20" s="12">
        <v>-782175108.73981595</v>
      </c>
      <c r="X20" s="12">
        <v>51273920.418732643</v>
      </c>
    </row>
    <row r="21" spans="1:24" x14ac:dyDescent="0.25">
      <c r="A21" s="1">
        <v>261386</v>
      </c>
      <c r="B21" s="1">
        <f t="shared" si="2"/>
        <v>20</v>
      </c>
      <c r="C21" s="1">
        <v>6270</v>
      </c>
      <c r="D21" s="1">
        <v>17</v>
      </c>
      <c r="E21" s="1">
        <f t="shared" si="1"/>
        <v>3</v>
      </c>
      <c r="F21" s="39">
        <f t="shared" si="3"/>
        <v>9</v>
      </c>
      <c r="H21" s="72">
        <f t="shared" si="4"/>
        <v>3.8257596045694876E-6</v>
      </c>
      <c r="I21" s="41">
        <f t="shared" si="5"/>
        <v>1.9559549086237871E-3</v>
      </c>
      <c r="J21" s="40">
        <f t="shared" si="6"/>
        <v>4.4226178996424587E-2</v>
      </c>
      <c r="K21" s="40">
        <f t="shared" si="7"/>
        <v>22.611042208300287</v>
      </c>
      <c r="L21" s="40">
        <f t="shared" si="8"/>
        <v>511.2592297455372</v>
      </c>
      <c r="M21" s="40">
        <f t="shared" si="9"/>
        <v>261386</v>
      </c>
      <c r="N21" s="40">
        <f t="shared" si="10"/>
        <v>133636005.02626714</v>
      </c>
    </row>
    <row r="22" spans="1:24" x14ac:dyDescent="0.25">
      <c r="A22" s="1">
        <v>334286</v>
      </c>
      <c r="B22" s="1">
        <f t="shared" si="2"/>
        <v>21</v>
      </c>
      <c r="C22" s="1">
        <v>16758</v>
      </c>
      <c r="D22" s="1">
        <f t="shared" ref="D22:D29" si="12">_xlfn.RANK.AVG(C22,$C$2:$C$29,1)</f>
        <v>24</v>
      </c>
      <c r="E22" s="1">
        <f t="shared" si="1"/>
        <v>-3</v>
      </c>
      <c r="F22" s="1">
        <f t="shared" si="3"/>
        <v>9</v>
      </c>
      <c r="H22" s="72">
        <f t="shared" si="4"/>
        <v>2.9914504346577482E-6</v>
      </c>
      <c r="I22" s="41">
        <f t="shared" si="5"/>
        <v>1.7295809997388814E-3</v>
      </c>
      <c r="J22" s="40">
        <f t="shared" si="6"/>
        <v>4.1588231505305454E-2</v>
      </c>
      <c r="K22" s="40">
        <f t="shared" si="7"/>
        <v>24.045263859619251</v>
      </c>
      <c r="L22" s="40">
        <f t="shared" si="8"/>
        <v>578.17471407871165</v>
      </c>
      <c r="M22" s="40">
        <f t="shared" si="9"/>
        <v>334286</v>
      </c>
      <c r="N22" s="40">
        <f t="shared" si="10"/>
        <v>193275712.47051629</v>
      </c>
      <c r="P22" s="117" t="s">
        <v>202</v>
      </c>
      <c r="Q22" s="117"/>
      <c r="R22" s="117"/>
      <c r="S22" s="117"/>
      <c r="T22" s="117"/>
      <c r="U22" s="117"/>
      <c r="V22" s="117"/>
      <c r="W22" s="117"/>
      <c r="X22" s="117"/>
    </row>
    <row r="23" spans="1:24" x14ac:dyDescent="0.25">
      <c r="A23" s="1">
        <v>380820</v>
      </c>
      <c r="B23" s="1">
        <f t="shared" si="2"/>
        <v>22</v>
      </c>
      <c r="C23" s="1">
        <v>86952</v>
      </c>
      <c r="D23" s="1">
        <f t="shared" si="12"/>
        <v>28</v>
      </c>
      <c r="E23" s="1">
        <f t="shared" si="1"/>
        <v>-6</v>
      </c>
      <c r="F23" s="1">
        <f t="shared" si="3"/>
        <v>36</v>
      </c>
      <c r="H23" s="72">
        <f t="shared" si="4"/>
        <v>2.625912504595347E-6</v>
      </c>
      <c r="I23" s="41">
        <f t="shared" si="5"/>
        <v>1.6204667551651117E-3</v>
      </c>
      <c r="J23" s="40">
        <f t="shared" si="6"/>
        <v>4.0255021490059002E-2</v>
      </c>
      <c r="K23" s="40">
        <f t="shared" si="7"/>
        <v>24.841621317900689</v>
      </c>
      <c r="L23" s="40">
        <f t="shared" si="8"/>
        <v>617.10614970197798</v>
      </c>
      <c r="M23" s="40">
        <f t="shared" si="9"/>
        <v>380820</v>
      </c>
      <c r="N23" s="40">
        <f t="shared" si="10"/>
        <v>235006363.92950729</v>
      </c>
    </row>
    <row r="24" spans="1:24" x14ac:dyDescent="0.25">
      <c r="A24" s="1">
        <v>420788</v>
      </c>
      <c r="B24" s="1">
        <f t="shared" si="2"/>
        <v>23</v>
      </c>
      <c r="C24" s="1">
        <v>27034</v>
      </c>
      <c r="D24" s="1">
        <f t="shared" si="12"/>
        <v>25</v>
      </c>
      <c r="E24" s="1">
        <f t="shared" si="1"/>
        <v>-2</v>
      </c>
      <c r="F24" s="1">
        <f t="shared" si="3"/>
        <v>4</v>
      </c>
      <c r="H24" s="72">
        <f t="shared" si="4"/>
        <v>2.3764936262440946E-6</v>
      </c>
      <c r="I24" s="41">
        <f t="shared" si="5"/>
        <v>1.541588020920017E-3</v>
      </c>
      <c r="J24" s="40">
        <f t="shared" si="6"/>
        <v>3.9263061787385062E-2</v>
      </c>
      <c r="K24" s="40">
        <f t="shared" si="7"/>
        <v>25.469231243735884</v>
      </c>
      <c r="L24" s="40">
        <f t="shared" si="8"/>
        <v>648.68174014689203</v>
      </c>
      <c r="M24" s="40">
        <f t="shared" si="9"/>
        <v>420788</v>
      </c>
      <c r="N24" s="40">
        <f t="shared" si="10"/>
        <v>272957492.07293046</v>
      </c>
      <c r="P24" s="5" t="s">
        <v>24</v>
      </c>
    </row>
    <row r="25" spans="1:24" ht="15.75" thickBot="1" x14ac:dyDescent="0.3">
      <c r="A25" s="1">
        <v>483652</v>
      </c>
      <c r="B25" s="1">
        <f t="shared" si="2"/>
        <v>24</v>
      </c>
      <c r="C25" s="1">
        <v>14180</v>
      </c>
      <c r="D25" s="1">
        <f t="shared" si="12"/>
        <v>22</v>
      </c>
      <c r="E25" s="1">
        <f t="shared" si="1"/>
        <v>2</v>
      </c>
      <c r="F25" s="1">
        <f t="shared" si="3"/>
        <v>4</v>
      </c>
      <c r="H25" s="72">
        <f t="shared" si="4"/>
        <v>2.0676023256390959E-6</v>
      </c>
      <c r="I25" s="41">
        <f t="shared" si="5"/>
        <v>1.437915966125662E-3</v>
      </c>
      <c r="J25" s="40">
        <f t="shared" si="6"/>
        <v>3.7919862422293435E-2</v>
      </c>
      <c r="K25" s="40">
        <f t="shared" si="7"/>
        <v>26.371403695074875</v>
      </c>
      <c r="L25" s="40">
        <f t="shared" si="8"/>
        <v>695.45093284860866</v>
      </c>
      <c r="M25" s="40">
        <f t="shared" si="9"/>
        <v>483652</v>
      </c>
      <c r="N25" s="40">
        <f t="shared" si="10"/>
        <v>336356234.57409543</v>
      </c>
    </row>
    <row r="26" spans="1:24" x14ac:dyDescent="0.25">
      <c r="A26" s="1">
        <v>547203</v>
      </c>
      <c r="B26" s="1">
        <f t="shared" si="2"/>
        <v>25</v>
      </c>
      <c r="C26" s="1">
        <v>6024</v>
      </c>
      <c r="D26" s="1">
        <f t="shared" si="12"/>
        <v>16</v>
      </c>
      <c r="E26" s="1">
        <f t="shared" si="1"/>
        <v>9</v>
      </c>
      <c r="F26" s="1">
        <f t="shared" si="3"/>
        <v>81</v>
      </c>
      <c r="H26" s="72">
        <f t="shared" si="4"/>
        <v>1.8274753610634444E-6</v>
      </c>
      <c r="I26" s="41">
        <f t="shared" si="5"/>
        <v>1.3518414703889818E-3</v>
      </c>
      <c r="J26" s="40">
        <f t="shared" si="6"/>
        <v>3.6767396839985582E-2</v>
      </c>
      <c r="K26" s="40">
        <f t="shared" si="7"/>
        <v>27.198009267614829</v>
      </c>
      <c r="L26" s="40">
        <f t="shared" si="8"/>
        <v>739.73170812126205</v>
      </c>
      <c r="M26" s="40">
        <f t="shared" si="9"/>
        <v>547203</v>
      </c>
      <c r="N26" s="40">
        <f t="shared" si="10"/>
        <v>404783409.87907922</v>
      </c>
      <c r="P26" s="75" t="s">
        <v>25</v>
      </c>
      <c r="Q26" s="75"/>
    </row>
    <row r="27" spans="1:24" x14ac:dyDescent="0.25">
      <c r="A27" s="1">
        <v>1016286</v>
      </c>
      <c r="B27" s="1">
        <f t="shared" si="2"/>
        <v>26</v>
      </c>
      <c r="C27" s="1">
        <v>62439</v>
      </c>
      <c r="D27" s="1">
        <f t="shared" si="12"/>
        <v>27</v>
      </c>
      <c r="E27" s="1">
        <f t="shared" si="1"/>
        <v>-1</v>
      </c>
      <c r="F27" s="1">
        <f t="shared" si="3"/>
        <v>1</v>
      </c>
      <c r="H27" s="72">
        <f t="shared" si="4"/>
        <v>9.8397498342002163E-7</v>
      </c>
      <c r="I27" s="41">
        <f t="shared" si="5"/>
        <v>9.9195513175749108E-4</v>
      </c>
      <c r="J27" s="40">
        <f t="shared" si="6"/>
        <v>3.1495319203930783E-2</v>
      </c>
      <c r="K27" s="40">
        <f t="shared" si="7"/>
        <v>31.750749802694322</v>
      </c>
      <c r="L27" s="40">
        <f t="shared" si="8"/>
        <v>1008.1101130332936</v>
      </c>
      <c r="M27" s="40">
        <f t="shared" si="9"/>
        <v>1016286</v>
      </c>
      <c r="N27" s="40">
        <f t="shared" si="10"/>
        <v>1024528194.3341521</v>
      </c>
      <c r="P27" s="5" t="s">
        <v>26</v>
      </c>
      <c r="Q27" s="5">
        <v>0.43689488844844548</v>
      </c>
    </row>
    <row r="28" spans="1:24" x14ac:dyDescent="0.25">
      <c r="A28" s="1">
        <v>1024609</v>
      </c>
      <c r="B28" s="1">
        <f t="shared" si="2"/>
        <v>27</v>
      </c>
      <c r="C28" s="1">
        <v>45333</v>
      </c>
      <c r="D28" s="1">
        <f t="shared" si="12"/>
        <v>26</v>
      </c>
      <c r="E28" s="1">
        <f t="shared" si="1"/>
        <v>1</v>
      </c>
      <c r="F28" s="1">
        <f t="shared" si="3"/>
        <v>1</v>
      </c>
      <c r="H28" s="72">
        <f t="shared" si="4"/>
        <v>9.7598205754585416E-7</v>
      </c>
      <c r="I28" s="41">
        <f t="shared" si="5"/>
        <v>9.8791804191737187E-4</v>
      </c>
      <c r="J28" s="40">
        <f t="shared" si="6"/>
        <v>3.1431163546985837E-2</v>
      </c>
      <c r="K28" s="40">
        <f t="shared" si="7"/>
        <v>31.815557782489321</v>
      </c>
      <c r="L28" s="40">
        <f t="shared" si="8"/>
        <v>1012.2297170109165</v>
      </c>
      <c r="M28" s="40">
        <f t="shared" si="9"/>
        <v>1024609</v>
      </c>
      <c r="N28" s="40">
        <f t="shared" si="10"/>
        <v>1037139678.1168404</v>
      </c>
      <c r="P28" s="5" t="s">
        <v>27</v>
      </c>
      <c r="Q28" s="77">
        <v>0.19087714355237961</v>
      </c>
    </row>
    <row r="29" spans="1:24" x14ac:dyDescent="0.25">
      <c r="A29" s="1">
        <v>1330998</v>
      </c>
      <c r="B29" s="1">
        <f t="shared" si="2"/>
        <v>28</v>
      </c>
      <c r="C29" s="1">
        <v>2093</v>
      </c>
      <c r="D29" s="1">
        <f t="shared" si="12"/>
        <v>7</v>
      </c>
      <c r="E29" s="1">
        <f t="shared" si="1"/>
        <v>21</v>
      </c>
      <c r="F29" s="1">
        <f t="shared" si="3"/>
        <v>441</v>
      </c>
      <c r="H29" s="72">
        <f t="shared" si="4"/>
        <v>7.5131592985113426E-7</v>
      </c>
      <c r="I29" s="41">
        <f t="shared" si="5"/>
        <v>8.6678482326995915E-4</v>
      </c>
      <c r="J29" s="40">
        <f t="shared" si="6"/>
        <v>2.9441209609490555E-2</v>
      </c>
      <c r="K29" s="40">
        <f t="shared" si="7"/>
        <v>33.965995734008288</v>
      </c>
      <c r="L29" s="40">
        <f t="shared" si="8"/>
        <v>1153.688866202669</v>
      </c>
      <c r="M29" s="40">
        <f t="shared" si="9"/>
        <v>1330998</v>
      </c>
      <c r="N29" s="40">
        <f t="shared" si="10"/>
        <v>1535557573.5380213</v>
      </c>
      <c r="P29" s="5" t="s">
        <v>28</v>
      </c>
      <c r="Q29" s="5">
        <v>0.15975703368900959</v>
      </c>
    </row>
    <row r="30" spans="1:24" x14ac:dyDescent="0.25">
      <c r="F30" s="13">
        <f>SUM(F2:F29)</f>
        <v>1608</v>
      </c>
      <c r="P30" s="5" t="s">
        <v>29</v>
      </c>
      <c r="Q30" s="5">
        <v>18495.670774325397</v>
      </c>
    </row>
    <row r="31" spans="1:24" ht="15.75" thickBot="1" x14ac:dyDescent="0.3">
      <c r="P31" s="12" t="s">
        <v>30</v>
      </c>
      <c r="Q31" s="12">
        <v>28</v>
      </c>
    </row>
    <row r="32" spans="1:24" x14ac:dyDescent="0.25">
      <c r="A32" t="s">
        <v>83</v>
      </c>
      <c r="B32" s="5">
        <f>1-(6*F30)/(28*(28^2-1))</f>
        <v>0.55993431855500819</v>
      </c>
      <c r="I32" s="73" t="s">
        <v>90</v>
      </c>
      <c r="J32" s="73" t="s">
        <v>86</v>
      </c>
      <c r="K32" s="73" t="s">
        <v>87</v>
      </c>
      <c r="L32" s="73" t="s">
        <v>88</v>
      </c>
      <c r="M32" s="73" t="s">
        <v>208</v>
      </c>
    </row>
    <row r="33" spans="1:24" ht="15.75" thickBot="1" x14ac:dyDescent="0.3">
      <c r="A33" t="s">
        <v>84</v>
      </c>
      <c r="B33" s="5">
        <f>(B32*SQRT(26))/SQRT((1-B32*B32))</f>
        <v>3.4459728650477959</v>
      </c>
      <c r="I33" s="73">
        <v>-1</v>
      </c>
      <c r="J33" s="74">
        <f>Q20</f>
        <v>-365450594.16054165</v>
      </c>
      <c r="K33" s="74">
        <f>R20</f>
        <v>202733420.76502162</v>
      </c>
      <c r="L33" s="74">
        <f>S20</f>
        <v>-1.8026164249658547</v>
      </c>
      <c r="M33" s="74">
        <f>Q7</f>
        <v>0.11109366653117116</v>
      </c>
      <c r="P33" s="5" t="s">
        <v>31</v>
      </c>
    </row>
    <row r="34" spans="1:24" x14ac:dyDescent="0.25">
      <c r="A34" t="s">
        <v>85</v>
      </c>
      <c r="B34" s="5">
        <f>TINV(0.05,26)</f>
        <v>2.0555294386428731</v>
      </c>
      <c r="I34" s="73">
        <v>-0.5</v>
      </c>
      <c r="J34" s="74">
        <f>Q41</f>
        <v>-4416636.3897760445</v>
      </c>
      <c r="K34" s="74">
        <f>R41</f>
        <v>1783344.4869740424</v>
      </c>
      <c r="L34" s="74">
        <f>S41</f>
        <v>-2.4766030467114857</v>
      </c>
      <c r="M34" s="74">
        <f>Q28</f>
        <v>0.19087714355237961</v>
      </c>
      <c r="P34" s="75"/>
      <c r="Q34" s="75" t="s">
        <v>36</v>
      </c>
      <c r="R34" s="75" t="s">
        <v>37</v>
      </c>
      <c r="S34" s="75" t="s">
        <v>38</v>
      </c>
      <c r="T34" s="75" t="s">
        <v>39</v>
      </c>
      <c r="U34" s="75" t="s">
        <v>40</v>
      </c>
    </row>
    <row r="35" spans="1:24" x14ac:dyDescent="0.25">
      <c r="I35" s="73">
        <v>-0.25</v>
      </c>
      <c r="J35" s="74">
        <f>Q62</f>
        <v>-592812.50518146541</v>
      </c>
      <c r="K35" s="74">
        <f>R62</f>
        <v>208133.32938166053</v>
      </c>
      <c r="L35" s="74">
        <f>S62</f>
        <v>-2.8482343839049764</v>
      </c>
      <c r="M35" s="74">
        <f>Q49</f>
        <v>0.23781468925547633</v>
      </c>
      <c r="P35" s="5" t="s">
        <v>32</v>
      </c>
      <c r="Q35" s="5">
        <v>1</v>
      </c>
      <c r="R35" s="5">
        <v>2098229449.9090405</v>
      </c>
      <c r="S35" s="5">
        <v>2098229449.9090405</v>
      </c>
      <c r="T35" s="5">
        <v>6.1335626509806094</v>
      </c>
      <c r="U35" s="5">
        <v>2.0091590574637271E-2</v>
      </c>
    </row>
    <row r="36" spans="1:24" x14ac:dyDescent="0.25">
      <c r="I36" s="73">
        <v>0.25</v>
      </c>
      <c r="J36" s="74">
        <f>Q83</f>
        <v>1751.8195532317161</v>
      </c>
      <c r="K36" s="74">
        <f>R83</f>
        <v>537.33732213193116</v>
      </c>
      <c r="L36" s="74">
        <f>S83</f>
        <v>3.2601858852484398</v>
      </c>
      <c r="M36" s="74">
        <f>Q70</f>
        <v>0.2901762690125963</v>
      </c>
      <c r="P36" s="5" t="s">
        <v>33</v>
      </c>
      <c r="Q36" s="5">
        <v>26</v>
      </c>
      <c r="R36" s="5">
        <v>8894335772.198101</v>
      </c>
      <c r="S36" s="5">
        <v>342089837.39223468</v>
      </c>
    </row>
    <row r="37" spans="1:24" ht="15.75" thickBot="1" x14ac:dyDescent="0.3">
      <c r="I37" s="73">
        <v>0.5</v>
      </c>
      <c r="J37" s="74">
        <f>Q104</f>
        <v>38.855647407968874</v>
      </c>
      <c r="K37" s="74">
        <f>R104</f>
        <v>12.121319985923478</v>
      </c>
      <c r="L37" s="74">
        <f>S104</f>
        <v>3.205562385374864</v>
      </c>
      <c r="M37" s="74">
        <f>Q91</f>
        <v>0.28326538086388375</v>
      </c>
      <c r="P37" s="12" t="s">
        <v>34</v>
      </c>
      <c r="Q37" s="12">
        <v>27</v>
      </c>
      <c r="R37" s="12">
        <v>10992565222.107141</v>
      </c>
      <c r="S37" s="12"/>
      <c r="T37" s="12"/>
      <c r="U37" s="12"/>
    </row>
    <row r="38" spans="1:24" ht="15.75" thickBot="1" x14ac:dyDescent="0.3">
      <c r="I38" s="73">
        <v>1</v>
      </c>
      <c r="J38" s="74">
        <f>Q125</f>
        <v>2.8548984838280098E-2</v>
      </c>
      <c r="K38" s="74">
        <f>R125</f>
        <v>1.0265859572275261E-2</v>
      </c>
      <c r="L38" s="74">
        <f>S125</f>
        <v>2.7809638966211456</v>
      </c>
      <c r="M38" s="74">
        <f>Q112</f>
        <v>0.22925876480306159</v>
      </c>
    </row>
    <row r="39" spans="1:24" x14ac:dyDescent="0.25">
      <c r="I39" s="73">
        <v>1.5</v>
      </c>
      <c r="J39" s="80">
        <f>Q146</f>
        <v>2.1990670792660971E-5</v>
      </c>
      <c r="K39" s="80">
        <f>R146</f>
        <v>9.6386992505667271E-6</v>
      </c>
      <c r="L39" s="74">
        <f>S146</f>
        <v>2.2814977644797856</v>
      </c>
      <c r="M39" s="74">
        <f>Q133</f>
        <v>0.166806388143447</v>
      </c>
      <c r="P39" s="75"/>
      <c r="Q39" s="75" t="s">
        <v>41</v>
      </c>
      <c r="R39" s="75" t="s">
        <v>29</v>
      </c>
      <c r="S39" s="75" t="s">
        <v>42</v>
      </c>
      <c r="T39" s="75" t="s">
        <v>43</v>
      </c>
      <c r="U39" s="75" t="s">
        <v>44</v>
      </c>
      <c r="V39" s="75" t="s">
        <v>45</v>
      </c>
      <c r="W39" s="75" t="s">
        <v>46</v>
      </c>
      <c r="X39" s="75" t="s">
        <v>47</v>
      </c>
    </row>
    <row r="40" spans="1:24" x14ac:dyDescent="0.25">
      <c r="P40" s="5" t="s">
        <v>35</v>
      </c>
      <c r="Q40" s="5">
        <v>26870.609171375356</v>
      </c>
      <c r="R40" s="5">
        <v>6728.3383182393654</v>
      </c>
      <c r="S40" s="5">
        <v>3.993647153344499</v>
      </c>
      <c r="T40" s="5">
        <v>4.7531346961265128E-4</v>
      </c>
      <c r="U40" s="5">
        <v>13040.31168508546</v>
      </c>
      <c r="V40" s="5">
        <v>40700.906657665255</v>
      </c>
      <c r="W40" s="5">
        <v>13040.31168508546</v>
      </c>
      <c r="X40" s="5">
        <v>40700.906657665255</v>
      </c>
    </row>
    <row r="41" spans="1:24" ht="15.75" thickBot="1" x14ac:dyDescent="0.3">
      <c r="H41" s="118" t="s">
        <v>209</v>
      </c>
      <c r="I41" s="118"/>
      <c r="J41" s="118"/>
      <c r="K41" s="118"/>
      <c r="L41" s="118"/>
      <c r="M41" s="118"/>
      <c r="N41" s="118"/>
      <c r="P41" s="12" t="s">
        <v>48</v>
      </c>
      <c r="Q41" s="78">
        <v>-4416636.3897760445</v>
      </c>
      <c r="R41" s="78">
        <v>1783344.4869740424</v>
      </c>
      <c r="S41" s="78">
        <v>-2.4766030467114857</v>
      </c>
      <c r="T41" s="12">
        <v>2.009159057463723E-2</v>
      </c>
      <c r="U41" s="12">
        <v>-8082353.4819926601</v>
      </c>
      <c r="V41" s="12">
        <v>-750919.29755942896</v>
      </c>
      <c r="W41" s="12">
        <v>-8082353.4819926601</v>
      </c>
      <c r="X41" s="12">
        <v>-750919.29755942896</v>
      </c>
    </row>
    <row r="43" spans="1:24" x14ac:dyDescent="0.25">
      <c r="P43" s="117" t="s">
        <v>203</v>
      </c>
      <c r="Q43" s="117"/>
      <c r="R43" s="117"/>
      <c r="S43" s="117"/>
      <c r="T43" s="117"/>
      <c r="U43" s="117"/>
      <c r="V43" s="117"/>
      <c r="W43" s="117"/>
      <c r="X43" s="117"/>
    </row>
    <row r="45" spans="1:24" x14ac:dyDescent="0.25">
      <c r="P45" s="5" t="s">
        <v>24</v>
      </c>
    </row>
    <row r="46" spans="1:24" ht="15.75" thickBot="1" x14ac:dyDescent="0.3"/>
    <row r="47" spans="1:24" x14ac:dyDescent="0.25">
      <c r="P47" s="75" t="s">
        <v>25</v>
      </c>
      <c r="Q47" s="75"/>
    </row>
    <row r="48" spans="1:24" x14ac:dyDescent="0.25">
      <c r="P48" s="5" t="s">
        <v>26</v>
      </c>
      <c r="Q48" s="5">
        <v>0.48766247472557939</v>
      </c>
    </row>
    <row r="49" spans="16:24" x14ac:dyDescent="0.25">
      <c r="P49" s="5" t="s">
        <v>27</v>
      </c>
      <c r="Q49" s="77">
        <v>0.23781468925547633</v>
      </c>
    </row>
    <row r="50" spans="16:24" x14ac:dyDescent="0.25">
      <c r="P50" s="5" t="s">
        <v>28</v>
      </c>
      <c r="Q50" s="5">
        <v>0.2084998696114562</v>
      </c>
    </row>
    <row r="51" spans="16:24" x14ac:dyDescent="0.25">
      <c r="P51" s="5" t="s">
        <v>29</v>
      </c>
      <c r="Q51" s="5">
        <v>17951.185668673785</v>
      </c>
    </row>
    <row r="52" spans="16:24" ht="15.75" thickBot="1" x14ac:dyDescent="0.3">
      <c r="P52" s="12" t="s">
        <v>30</v>
      </c>
      <c r="Q52" s="12">
        <v>28</v>
      </c>
    </row>
    <row r="54" spans="16:24" ht="15.75" thickBot="1" x14ac:dyDescent="0.3">
      <c r="P54" s="5" t="s">
        <v>31</v>
      </c>
    </row>
    <row r="55" spans="16:24" x14ac:dyDescent="0.25">
      <c r="P55" s="75"/>
      <c r="Q55" s="75" t="s">
        <v>36</v>
      </c>
      <c r="R55" s="75" t="s">
        <v>37</v>
      </c>
      <c r="S55" s="75" t="s">
        <v>38</v>
      </c>
      <c r="T55" s="75" t="s">
        <v>39</v>
      </c>
      <c r="U55" s="75" t="s">
        <v>40</v>
      </c>
    </row>
    <row r="56" spans="16:24" x14ac:dyDescent="0.25">
      <c r="P56" s="5" t="s">
        <v>32</v>
      </c>
      <c r="Q56" s="5">
        <v>1</v>
      </c>
      <c r="R56" s="5">
        <v>2614193482.415966</v>
      </c>
      <c r="S56" s="5">
        <v>2614193482.415966</v>
      </c>
      <c r="T56" s="5">
        <v>8.112439105658547</v>
      </c>
      <c r="U56" s="5">
        <v>8.4793974363170741E-3</v>
      </c>
    </row>
    <row r="57" spans="16:24" x14ac:dyDescent="0.25">
      <c r="P57" s="5" t="s">
        <v>33</v>
      </c>
      <c r="Q57" s="5">
        <v>26</v>
      </c>
      <c r="R57" s="5">
        <v>8378371739.6911755</v>
      </c>
      <c r="S57" s="5">
        <v>322245066.91119903</v>
      </c>
    </row>
    <row r="58" spans="16:24" ht="15.75" thickBot="1" x14ac:dyDescent="0.3">
      <c r="P58" s="12" t="s">
        <v>34</v>
      </c>
      <c r="Q58" s="12">
        <v>27</v>
      </c>
      <c r="R58" s="12">
        <v>10992565222.107141</v>
      </c>
      <c r="S58" s="12"/>
      <c r="T58" s="12"/>
      <c r="U58" s="12"/>
    </row>
    <row r="59" spans="16:24" ht="15.75" thickBot="1" x14ac:dyDescent="0.3"/>
    <row r="60" spans="16:24" x14ac:dyDescent="0.25">
      <c r="P60" s="75"/>
      <c r="Q60" s="75" t="s">
        <v>41</v>
      </c>
      <c r="R60" s="75" t="s">
        <v>29</v>
      </c>
      <c r="S60" s="75" t="s">
        <v>42</v>
      </c>
      <c r="T60" s="75" t="s">
        <v>43</v>
      </c>
      <c r="U60" s="75" t="s">
        <v>44</v>
      </c>
      <c r="V60" s="75" t="s">
        <v>45</v>
      </c>
      <c r="W60" s="75" t="s">
        <v>46</v>
      </c>
      <c r="X60" s="75" t="s">
        <v>47</v>
      </c>
    </row>
    <row r="61" spans="16:24" x14ac:dyDescent="0.25">
      <c r="P61" s="5" t="s">
        <v>35</v>
      </c>
      <c r="Q61" s="5">
        <v>44874.564597914548</v>
      </c>
      <c r="R61" s="5">
        <v>11817.534248688435</v>
      </c>
      <c r="S61" s="5">
        <v>3.7972866127208338</v>
      </c>
      <c r="T61" s="5">
        <v>7.9145038632967807E-4</v>
      </c>
      <c r="U61" s="5">
        <v>20583.275057565083</v>
      </c>
      <c r="V61" s="5">
        <v>69165.854138264011</v>
      </c>
      <c r="W61" s="5">
        <v>20583.275057565083</v>
      </c>
      <c r="X61" s="5">
        <v>69165.854138264011</v>
      </c>
    </row>
    <row r="62" spans="16:24" ht="15.75" thickBot="1" x14ac:dyDescent="0.3">
      <c r="P62" s="12" t="s">
        <v>48</v>
      </c>
      <c r="Q62" s="78">
        <v>-592812.50518146541</v>
      </c>
      <c r="R62" s="78">
        <v>208133.32938166053</v>
      </c>
      <c r="S62" s="78">
        <v>-2.8482343839049764</v>
      </c>
      <c r="T62" s="12">
        <v>8.4793974363170464E-3</v>
      </c>
      <c r="U62" s="12">
        <v>-1020636.6908882223</v>
      </c>
      <c r="V62" s="12">
        <v>-164988.31947470852</v>
      </c>
      <c r="W62" s="12">
        <v>-1020636.6908882223</v>
      </c>
      <c r="X62" s="12">
        <v>-164988.31947470852</v>
      </c>
    </row>
    <row r="64" spans="16:24" x14ac:dyDescent="0.25">
      <c r="P64" s="117" t="s">
        <v>204</v>
      </c>
      <c r="Q64" s="117"/>
      <c r="R64" s="117"/>
      <c r="S64" s="117"/>
      <c r="T64" s="117"/>
      <c r="U64" s="117"/>
      <c r="V64" s="117"/>
      <c r="W64" s="117"/>
      <c r="X64" s="117"/>
    </row>
    <row r="66" spans="16:21" x14ac:dyDescent="0.25">
      <c r="P66" s="5" t="s">
        <v>24</v>
      </c>
    </row>
    <row r="67" spans="16:21" ht="15.75" thickBot="1" x14ac:dyDescent="0.3"/>
    <row r="68" spans="16:21" x14ac:dyDescent="0.25">
      <c r="P68" s="75" t="s">
        <v>25</v>
      </c>
      <c r="Q68" s="75"/>
    </row>
    <row r="69" spans="16:21" x14ac:dyDescent="0.25">
      <c r="P69" s="5" t="s">
        <v>26</v>
      </c>
      <c r="Q69" s="5">
        <v>0.53868011752114664</v>
      </c>
    </row>
    <row r="70" spans="16:21" x14ac:dyDescent="0.25">
      <c r="P70" s="5" t="s">
        <v>27</v>
      </c>
      <c r="Q70" s="77">
        <v>0.2901762690125963</v>
      </c>
    </row>
    <row r="71" spans="16:21" x14ac:dyDescent="0.25">
      <c r="P71" s="5" t="s">
        <v>28</v>
      </c>
      <c r="Q71" s="5">
        <v>0.26287535628231151</v>
      </c>
    </row>
    <row r="72" spans="16:21" x14ac:dyDescent="0.25">
      <c r="P72" s="5" t="s">
        <v>29</v>
      </c>
      <c r="Q72" s="5">
        <v>17323.598465985939</v>
      </c>
    </row>
    <row r="73" spans="16:21" ht="15.75" thickBot="1" x14ac:dyDescent="0.3">
      <c r="P73" s="12" t="s">
        <v>30</v>
      </c>
      <c r="Q73" s="12">
        <v>28</v>
      </c>
    </row>
    <row r="75" spans="16:21" ht="15.75" thickBot="1" x14ac:dyDescent="0.3">
      <c r="P75" s="5" t="s">
        <v>31</v>
      </c>
    </row>
    <row r="76" spans="16:21" x14ac:dyDescent="0.25">
      <c r="P76" s="75"/>
      <c r="Q76" s="75" t="s">
        <v>36</v>
      </c>
      <c r="R76" s="75" t="s">
        <v>37</v>
      </c>
      <c r="S76" s="75" t="s">
        <v>38</v>
      </c>
      <c r="T76" s="75" t="s">
        <v>39</v>
      </c>
      <c r="U76" s="75" t="s">
        <v>40</v>
      </c>
    </row>
    <row r="77" spans="16:21" x14ac:dyDescent="0.25">
      <c r="P77" s="5" t="s">
        <v>32</v>
      </c>
      <c r="Q77" s="5">
        <v>1</v>
      </c>
      <c r="R77" s="5">
        <v>3189781563.0286722</v>
      </c>
      <c r="S77" s="5">
        <v>3189781563.0286722</v>
      </c>
      <c r="T77" s="5">
        <v>10.628812006373153</v>
      </c>
      <c r="U77" s="5">
        <v>3.1021456236238953E-3</v>
      </c>
    </row>
    <row r="78" spans="16:21" x14ac:dyDescent="0.25">
      <c r="P78" s="5" t="s">
        <v>33</v>
      </c>
      <c r="Q78" s="5">
        <v>26</v>
      </c>
      <c r="R78" s="5">
        <v>7802783659.0784693</v>
      </c>
      <c r="S78" s="5">
        <v>300107063.81071037</v>
      </c>
    </row>
    <row r="79" spans="16:21" ht="15.75" thickBot="1" x14ac:dyDescent="0.3">
      <c r="P79" s="12" t="s">
        <v>34</v>
      </c>
      <c r="Q79" s="12">
        <v>27</v>
      </c>
      <c r="R79" s="12">
        <v>10992565222.107141</v>
      </c>
      <c r="S79" s="12"/>
      <c r="T79" s="12"/>
      <c r="U79" s="12"/>
    </row>
    <row r="80" spans="16:21" ht="15.75" thickBot="1" x14ac:dyDescent="0.3"/>
    <row r="81" spans="16:24" x14ac:dyDescent="0.25">
      <c r="P81" s="75"/>
      <c r="Q81" s="75" t="s">
        <v>41</v>
      </c>
      <c r="R81" s="75" t="s">
        <v>29</v>
      </c>
      <c r="S81" s="75" t="s">
        <v>42</v>
      </c>
      <c r="T81" s="75" t="s">
        <v>43</v>
      </c>
      <c r="U81" s="75" t="s">
        <v>44</v>
      </c>
      <c r="V81" s="75" t="s">
        <v>45</v>
      </c>
      <c r="W81" s="75" t="s">
        <v>46</v>
      </c>
      <c r="X81" s="75" t="s">
        <v>47</v>
      </c>
    </row>
    <row r="82" spans="16:24" x14ac:dyDescent="0.25">
      <c r="P82" s="5" t="s">
        <v>35</v>
      </c>
      <c r="Q82" s="5">
        <v>-22587.326401633974</v>
      </c>
      <c r="R82" s="5">
        <v>11288.092928419403</v>
      </c>
      <c r="S82" s="5">
        <v>-2.0009869288697226</v>
      </c>
      <c r="T82" s="5">
        <v>5.5935294130919889E-2</v>
      </c>
      <c r="U82" s="5">
        <v>-45790.333722136493</v>
      </c>
      <c r="V82" s="5">
        <v>615.68091886854381</v>
      </c>
      <c r="W82" s="5">
        <v>-45790.333722136493</v>
      </c>
      <c r="X82" s="5">
        <v>615.68091886854381</v>
      </c>
    </row>
    <row r="83" spans="16:24" ht="15.75" thickBot="1" x14ac:dyDescent="0.3">
      <c r="P83" s="12" t="s">
        <v>48</v>
      </c>
      <c r="Q83" s="78">
        <v>1751.8195532317161</v>
      </c>
      <c r="R83" s="78">
        <v>537.33732213193116</v>
      </c>
      <c r="S83" s="78">
        <v>3.2601858852484398</v>
      </c>
      <c r="T83" s="12">
        <v>3.1021456236238953E-3</v>
      </c>
      <c r="U83" s="12">
        <v>647.30686910800296</v>
      </c>
      <c r="V83" s="12">
        <v>2856.3322373554292</v>
      </c>
      <c r="W83" s="12">
        <v>647.30686910800296</v>
      </c>
      <c r="X83" s="12">
        <v>2856.3322373554292</v>
      </c>
    </row>
    <row r="85" spans="16:24" x14ac:dyDescent="0.25">
      <c r="P85" s="117" t="s">
        <v>205</v>
      </c>
      <c r="Q85" s="117"/>
      <c r="R85" s="117"/>
      <c r="S85" s="117"/>
      <c r="T85" s="117"/>
      <c r="U85" s="117"/>
      <c r="V85" s="117"/>
      <c r="W85" s="117"/>
      <c r="X85" s="117"/>
    </row>
    <row r="87" spans="16:24" x14ac:dyDescent="0.25">
      <c r="P87" s="5" t="s">
        <v>24</v>
      </c>
    </row>
    <row r="88" spans="16:24" ht="15.75" thickBot="1" x14ac:dyDescent="0.3"/>
    <row r="89" spans="16:24" x14ac:dyDescent="0.25">
      <c r="P89" s="76" t="s">
        <v>25</v>
      </c>
      <c r="Q89" s="76"/>
    </row>
    <row r="90" spans="16:24" x14ac:dyDescent="0.25">
      <c r="P90" s="5" t="s">
        <v>26</v>
      </c>
      <c r="Q90" s="5">
        <v>0.53222681336426836</v>
      </c>
    </row>
    <row r="91" spans="16:24" x14ac:dyDescent="0.25">
      <c r="P91" s="5" t="s">
        <v>27</v>
      </c>
      <c r="Q91" s="77">
        <v>0.28326538086388375</v>
      </c>
    </row>
    <row r="92" spans="16:24" x14ac:dyDescent="0.25">
      <c r="P92" s="5" t="s">
        <v>28</v>
      </c>
      <c r="Q92" s="5">
        <v>0.25569866474326386</v>
      </c>
    </row>
    <row r="93" spans="16:24" x14ac:dyDescent="0.25">
      <c r="P93" s="5" t="s">
        <v>29</v>
      </c>
      <c r="Q93" s="5">
        <v>17407.726012182811</v>
      </c>
    </row>
    <row r="94" spans="16:24" ht="15.75" thickBot="1" x14ac:dyDescent="0.3">
      <c r="P94" s="12" t="s">
        <v>30</v>
      </c>
      <c r="Q94" s="12">
        <v>28</v>
      </c>
    </row>
    <row r="96" spans="16:24" ht="15.75" thickBot="1" x14ac:dyDescent="0.3">
      <c r="P96" s="5" t="s">
        <v>31</v>
      </c>
    </row>
    <row r="97" spans="16:24" x14ac:dyDescent="0.25">
      <c r="P97" s="75"/>
      <c r="Q97" s="75" t="s">
        <v>36</v>
      </c>
      <c r="R97" s="75" t="s">
        <v>37</v>
      </c>
      <c r="S97" s="75" t="s">
        <v>38</v>
      </c>
      <c r="T97" s="75" t="s">
        <v>39</v>
      </c>
      <c r="U97" s="75" t="s">
        <v>40</v>
      </c>
    </row>
    <row r="98" spans="16:24" x14ac:dyDescent="0.25">
      <c r="P98" s="5" t="s">
        <v>32</v>
      </c>
      <c r="Q98" s="5">
        <v>1</v>
      </c>
      <c r="R98" s="5">
        <v>3113813174.3112621</v>
      </c>
      <c r="S98" s="5">
        <v>3113813174.3112621</v>
      </c>
      <c r="T98" s="5">
        <v>10.275630206530176</v>
      </c>
      <c r="U98" s="5">
        <v>3.5534020717275859E-3</v>
      </c>
    </row>
    <row r="99" spans="16:24" x14ac:dyDescent="0.25">
      <c r="P99" s="5" t="s">
        <v>33</v>
      </c>
      <c r="Q99" s="5">
        <v>26</v>
      </c>
      <c r="R99" s="5">
        <v>7878752047.7958794</v>
      </c>
      <c r="S99" s="5">
        <v>303028924.9152261</v>
      </c>
    </row>
    <row r="100" spans="16:24" ht="15.75" thickBot="1" x14ac:dyDescent="0.3">
      <c r="P100" s="12" t="s">
        <v>34</v>
      </c>
      <c r="Q100" s="12">
        <v>27</v>
      </c>
      <c r="R100" s="12">
        <v>10992565222.107141</v>
      </c>
      <c r="S100" s="12"/>
      <c r="T100" s="12"/>
      <c r="U100" s="12"/>
    </row>
    <row r="101" spans="16:24" ht="15.75" thickBot="1" x14ac:dyDescent="0.3"/>
    <row r="102" spans="16:24" x14ac:dyDescent="0.25">
      <c r="P102" s="75"/>
      <c r="Q102" s="75" t="s">
        <v>41</v>
      </c>
      <c r="R102" s="75" t="s">
        <v>29</v>
      </c>
      <c r="S102" s="75" t="s">
        <v>42</v>
      </c>
      <c r="T102" s="75" t="s">
        <v>43</v>
      </c>
      <c r="U102" s="75" t="s">
        <v>44</v>
      </c>
      <c r="V102" s="75" t="s">
        <v>45</v>
      </c>
      <c r="W102" s="75" t="s">
        <v>46</v>
      </c>
      <c r="X102" s="75" t="s">
        <v>47</v>
      </c>
    </row>
    <row r="103" spans="16:24" x14ac:dyDescent="0.25">
      <c r="P103" s="5" t="s">
        <v>35</v>
      </c>
      <c r="Q103" s="5">
        <v>-4515.3402549229268</v>
      </c>
      <c r="R103" s="5">
        <v>6279.9271735325483</v>
      </c>
      <c r="S103" s="5">
        <v>-0.71901156337502292</v>
      </c>
      <c r="T103" s="5">
        <v>0.47854675791136247</v>
      </c>
      <c r="U103" s="5">
        <v>-17423.915432652408</v>
      </c>
      <c r="V103" s="5">
        <v>8393.2349228065559</v>
      </c>
      <c r="W103" s="5">
        <v>-17423.915432652408</v>
      </c>
      <c r="X103" s="5">
        <v>8393.2349228065559</v>
      </c>
    </row>
    <row r="104" spans="16:24" ht="15.75" thickBot="1" x14ac:dyDescent="0.3">
      <c r="P104" s="12" t="s">
        <v>48</v>
      </c>
      <c r="Q104" s="78">
        <v>38.855647407968874</v>
      </c>
      <c r="R104" s="78">
        <v>12.121319985923478</v>
      </c>
      <c r="S104" s="78">
        <v>3.205562385374864</v>
      </c>
      <c r="T104" s="12">
        <v>3.5534020717275716E-3</v>
      </c>
      <c r="U104" s="12">
        <v>13.939917341692951</v>
      </c>
      <c r="V104" s="12">
        <v>63.771377474244801</v>
      </c>
      <c r="W104" s="12">
        <v>13.939917341692951</v>
      </c>
      <c r="X104" s="12">
        <v>63.771377474244801</v>
      </c>
    </row>
    <row r="106" spans="16:24" x14ac:dyDescent="0.25">
      <c r="P106" s="117" t="s">
        <v>206</v>
      </c>
      <c r="Q106" s="117"/>
      <c r="R106" s="117"/>
      <c r="S106" s="117"/>
      <c r="T106" s="117"/>
      <c r="U106" s="117"/>
      <c r="V106" s="117"/>
      <c r="W106" s="117"/>
      <c r="X106" s="117"/>
    </row>
    <row r="108" spans="16:24" x14ac:dyDescent="0.25">
      <c r="P108" s="5" t="s">
        <v>24</v>
      </c>
    </row>
    <row r="109" spans="16:24" ht="15.75" thickBot="1" x14ac:dyDescent="0.3"/>
    <row r="110" spans="16:24" x14ac:dyDescent="0.25">
      <c r="P110" s="76" t="s">
        <v>25</v>
      </c>
      <c r="Q110" s="76"/>
    </row>
    <row r="111" spans="16:24" x14ac:dyDescent="0.25">
      <c r="P111" s="5" t="s">
        <v>26</v>
      </c>
      <c r="Q111" s="5">
        <v>0.47880973758170542</v>
      </c>
    </row>
    <row r="112" spans="16:24" x14ac:dyDescent="0.25">
      <c r="P112" s="5" t="s">
        <v>27</v>
      </c>
      <c r="Q112" s="77">
        <v>0.22925876480306159</v>
      </c>
    </row>
    <row r="113" spans="16:24" x14ac:dyDescent="0.25">
      <c r="P113" s="5" t="s">
        <v>28</v>
      </c>
      <c r="Q113" s="5">
        <v>0.19961487114164089</v>
      </c>
    </row>
    <row r="114" spans="16:24" x14ac:dyDescent="0.25">
      <c r="P114" s="5" t="s">
        <v>29</v>
      </c>
      <c r="Q114" s="5">
        <v>18051.660159397408</v>
      </c>
    </row>
    <row r="115" spans="16:24" ht="15.75" thickBot="1" x14ac:dyDescent="0.3">
      <c r="P115" s="12" t="s">
        <v>30</v>
      </c>
      <c r="Q115" s="12">
        <v>28</v>
      </c>
    </row>
    <row r="117" spans="16:24" ht="15.75" thickBot="1" x14ac:dyDescent="0.3">
      <c r="P117" s="5" t="s">
        <v>31</v>
      </c>
    </row>
    <row r="118" spans="16:24" x14ac:dyDescent="0.25">
      <c r="P118" s="75"/>
      <c r="Q118" s="75" t="s">
        <v>36</v>
      </c>
      <c r="R118" s="75" t="s">
        <v>37</v>
      </c>
      <c r="S118" s="75" t="s">
        <v>38</v>
      </c>
      <c r="T118" s="75" t="s">
        <v>39</v>
      </c>
      <c r="U118" s="75" t="s">
        <v>40</v>
      </c>
    </row>
    <row r="119" spans="16:24" x14ac:dyDescent="0.25">
      <c r="P119" s="5" t="s">
        <v>32</v>
      </c>
      <c r="Q119" s="5">
        <v>1</v>
      </c>
      <c r="R119" s="5">
        <v>2520141924.8373756</v>
      </c>
      <c r="S119" s="5">
        <v>2520141924.8373756</v>
      </c>
      <c r="T119" s="5">
        <v>7.7337601943102561</v>
      </c>
      <c r="U119" s="5">
        <v>9.947011905294156E-3</v>
      </c>
    </row>
    <row r="120" spans="16:24" x14ac:dyDescent="0.25">
      <c r="P120" s="5" t="s">
        <v>33</v>
      </c>
      <c r="Q120" s="5">
        <v>26</v>
      </c>
      <c r="R120" s="5">
        <v>8472423297.2697659</v>
      </c>
      <c r="S120" s="5">
        <v>325862434.51037562</v>
      </c>
    </row>
    <row r="121" spans="16:24" ht="15.75" thickBot="1" x14ac:dyDescent="0.3">
      <c r="P121" s="12" t="s">
        <v>34</v>
      </c>
      <c r="Q121" s="12">
        <v>27</v>
      </c>
      <c r="R121" s="12">
        <v>10992565222.107141</v>
      </c>
      <c r="S121" s="12"/>
      <c r="T121" s="12"/>
      <c r="U121" s="12"/>
    </row>
    <row r="122" spans="16:24" ht="15.75" thickBot="1" x14ac:dyDescent="0.3"/>
    <row r="123" spans="16:24" x14ac:dyDescent="0.25">
      <c r="P123" s="75"/>
      <c r="Q123" s="75" t="s">
        <v>41</v>
      </c>
      <c r="R123" s="75" t="s">
        <v>29</v>
      </c>
      <c r="S123" s="75" t="s">
        <v>42</v>
      </c>
      <c r="T123" s="75" t="s">
        <v>43</v>
      </c>
      <c r="U123" s="75" t="s">
        <v>44</v>
      </c>
      <c r="V123" s="75" t="s">
        <v>45</v>
      </c>
      <c r="W123" s="75" t="s">
        <v>46</v>
      </c>
      <c r="X123" s="75" t="s">
        <v>47</v>
      </c>
    </row>
    <row r="124" spans="16:24" x14ac:dyDescent="0.25">
      <c r="P124" s="5" t="s">
        <v>35</v>
      </c>
      <c r="Q124" s="5">
        <v>4969.1569237645563</v>
      </c>
      <c r="R124" s="5">
        <v>4385.302066725043</v>
      </c>
      <c r="S124" s="5">
        <v>1.1331390285448542</v>
      </c>
      <c r="T124" s="5">
        <v>0.26749722121663899</v>
      </c>
      <c r="U124" s="5">
        <v>-4044.960571730202</v>
      </c>
      <c r="V124" s="5">
        <v>13983.274419259315</v>
      </c>
      <c r="W124" s="5">
        <v>-4044.960571730202</v>
      </c>
      <c r="X124" s="5">
        <v>13983.274419259315</v>
      </c>
    </row>
    <row r="125" spans="16:24" ht="15.75" thickBot="1" x14ac:dyDescent="0.3">
      <c r="P125" s="12" t="s">
        <v>48</v>
      </c>
      <c r="Q125" s="78">
        <v>2.8548984838280098E-2</v>
      </c>
      <c r="R125" s="78">
        <v>1.0265859572275261E-2</v>
      </c>
      <c r="S125" s="78">
        <v>2.7809638966211456</v>
      </c>
      <c r="T125" s="12">
        <v>9.9470119052941369E-3</v>
      </c>
      <c r="U125" s="12">
        <v>7.4472082744945663E-3</v>
      </c>
      <c r="V125" s="12">
        <v>4.9650761402065632E-2</v>
      </c>
      <c r="W125" s="12">
        <v>7.4472082744945663E-3</v>
      </c>
      <c r="X125" s="12">
        <v>4.9650761402065632E-2</v>
      </c>
    </row>
    <row r="127" spans="16:24" x14ac:dyDescent="0.25">
      <c r="P127" s="117" t="s">
        <v>207</v>
      </c>
      <c r="Q127" s="117"/>
      <c r="R127" s="117"/>
      <c r="S127" s="117"/>
      <c r="T127" s="117"/>
      <c r="U127" s="117"/>
      <c r="V127" s="117"/>
      <c r="W127" s="117"/>
      <c r="X127" s="117"/>
    </row>
    <row r="129" spans="16:24" x14ac:dyDescent="0.25">
      <c r="P129" s="5" t="s">
        <v>24</v>
      </c>
    </row>
    <row r="130" spans="16:24" ht="15.75" thickBot="1" x14ac:dyDescent="0.3"/>
    <row r="131" spans="16:24" x14ac:dyDescent="0.25">
      <c r="P131" s="76" t="s">
        <v>25</v>
      </c>
      <c r="Q131" s="76"/>
    </row>
    <row r="132" spans="16:24" x14ac:dyDescent="0.25">
      <c r="P132" s="5" t="s">
        <v>26</v>
      </c>
      <c r="Q132" s="5">
        <v>0.40841937777662679</v>
      </c>
    </row>
    <row r="133" spans="16:24" x14ac:dyDescent="0.25">
      <c r="P133" s="5" t="s">
        <v>27</v>
      </c>
      <c r="Q133" s="77">
        <v>0.166806388143447</v>
      </c>
    </row>
    <row r="134" spans="16:24" x14ac:dyDescent="0.25">
      <c r="P134" s="5" t="s">
        <v>28</v>
      </c>
      <c r="Q134" s="5">
        <v>0.13476047999511803</v>
      </c>
    </row>
    <row r="135" spans="16:24" x14ac:dyDescent="0.25">
      <c r="P135" s="5" t="s">
        <v>29</v>
      </c>
      <c r="Q135" s="5">
        <v>18768.770216030691</v>
      </c>
    </row>
    <row r="136" spans="16:24" ht="15.75" thickBot="1" x14ac:dyDescent="0.3">
      <c r="P136" s="12" t="s">
        <v>30</v>
      </c>
      <c r="Q136" s="12">
        <v>28</v>
      </c>
    </row>
    <row r="138" spans="16:24" ht="15.75" thickBot="1" x14ac:dyDescent="0.3">
      <c r="P138" s="5" t="s">
        <v>31</v>
      </c>
    </row>
    <row r="139" spans="16:24" x14ac:dyDescent="0.25">
      <c r="P139" s="75"/>
      <c r="Q139" s="75" t="s">
        <v>36</v>
      </c>
      <c r="R139" s="75" t="s">
        <v>37</v>
      </c>
      <c r="S139" s="75" t="s">
        <v>38</v>
      </c>
      <c r="T139" s="75" t="s">
        <v>39</v>
      </c>
      <c r="U139" s="75" t="s">
        <v>40</v>
      </c>
    </row>
    <row r="140" spans="16:24" x14ac:dyDescent="0.25">
      <c r="P140" s="5" t="s">
        <v>32</v>
      </c>
      <c r="Q140" s="5">
        <v>1</v>
      </c>
      <c r="R140" s="5">
        <v>1833630101.1309605</v>
      </c>
      <c r="S140" s="5">
        <v>1833630101.1309605</v>
      </c>
      <c r="T140" s="5">
        <v>5.2052320493262458</v>
      </c>
      <c r="U140" s="5">
        <v>3.0949618361529686E-2</v>
      </c>
    </row>
    <row r="141" spans="16:24" x14ac:dyDescent="0.25">
      <c r="P141" s="5" t="s">
        <v>33</v>
      </c>
      <c r="Q141" s="5">
        <v>26</v>
      </c>
      <c r="R141" s="5">
        <v>9158935120.976181</v>
      </c>
      <c r="S141" s="5">
        <v>352266735.4221608</v>
      </c>
    </row>
    <row r="142" spans="16:24" ht="15.75" thickBot="1" x14ac:dyDescent="0.3">
      <c r="P142" s="12" t="s">
        <v>34</v>
      </c>
      <c r="Q142" s="12">
        <v>27</v>
      </c>
      <c r="R142" s="12">
        <v>10992565222.107141</v>
      </c>
      <c r="S142" s="12"/>
      <c r="T142" s="12"/>
      <c r="U142" s="12"/>
    </row>
    <row r="143" spans="16:24" ht="15.75" thickBot="1" x14ac:dyDescent="0.3"/>
    <row r="144" spans="16:24" x14ac:dyDescent="0.25">
      <c r="P144" s="75"/>
      <c r="Q144" s="75" t="s">
        <v>41</v>
      </c>
      <c r="R144" s="75" t="s">
        <v>29</v>
      </c>
      <c r="S144" s="75" t="s">
        <v>42</v>
      </c>
      <c r="T144" s="75" t="s">
        <v>43</v>
      </c>
      <c r="U144" s="75" t="s">
        <v>44</v>
      </c>
      <c r="V144" s="75" t="s">
        <v>45</v>
      </c>
      <c r="W144" s="75" t="s">
        <v>46</v>
      </c>
      <c r="X144" s="75" t="s">
        <v>47</v>
      </c>
    </row>
    <row r="145" spans="16:24" x14ac:dyDescent="0.25">
      <c r="P145" s="5" t="s">
        <v>35</v>
      </c>
      <c r="Q145" s="5">
        <v>8102.452002109615</v>
      </c>
      <c r="R145" s="5">
        <v>4064.8295405935605</v>
      </c>
      <c r="S145" s="5">
        <v>1.9933067109442595</v>
      </c>
      <c r="T145" s="5">
        <v>5.6819134793395808E-2</v>
      </c>
      <c r="U145" s="5">
        <v>-252.92478164563454</v>
      </c>
      <c r="V145" s="5">
        <v>16457.828785864865</v>
      </c>
      <c r="W145" s="5">
        <v>-252.92478164563454</v>
      </c>
      <c r="X145" s="5">
        <v>16457.828785864865</v>
      </c>
    </row>
    <row r="146" spans="16:24" ht="15.75" thickBot="1" x14ac:dyDescent="0.3">
      <c r="P146" s="12" t="s">
        <v>48</v>
      </c>
      <c r="Q146" s="79">
        <v>2.1990670792660971E-5</v>
      </c>
      <c r="R146" s="79">
        <v>9.6386992505667271E-6</v>
      </c>
      <c r="S146" s="78">
        <v>2.2814977644797856</v>
      </c>
      <c r="T146" s="12">
        <v>3.0949618361529433E-2</v>
      </c>
      <c r="U146" s="12">
        <v>2.1780407328960652E-6</v>
      </c>
      <c r="V146" s="12">
        <v>4.1803300852425877E-5</v>
      </c>
      <c r="W146" s="12">
        <v>2.1780407328960652E-6</v>
      </c>
      <c r="X146" s="12">
        <v>4.1803300852425877E-5</v>
      </c>
    </row>
  </sheetData>
  <mergeCells count="8">
    <mergeCell ref="P1:X1"/>
    <mergeCell ref="P127:X127"/>
    <mergeCell ref="H41:N41"/>
    <mergeCell ref="P22:X22"/>
    <mergeCell ref="P43:X43"/>
    <mergeCell ref="P64:X64"/>
    <mergeCell ref="P85:X85"/>
    <mergeCell ref="P106:X106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FE5E-32F5-4E85-89C6-52853C456E0F}">
  <dimension ref="A1:M112"/>
  <sheetViews>
    <sheetView zoomScaleNormal="100" workbookViewId="0">
      <selection activeCell="G22" sqref="G22"/>
    </sheetView>
  </sheetViews>
  <sheetFormatPr defaultColWidth="9.28515625" defaultRowHeight="15" x14ac:dyDescent="0.25"/>
  <cols>
    <col min="1" max="1" width="14.28515625" bestFit="1" customWidth="1"/>
    <col min="2" max="2" width="11.5703125" bestFit="1" customWidth="1"/>
    <col min="3" max="3" width="7.42578125" bestFit="1" customWidth="1"/>
    <col min="5" max="5" width="26.28515625" bestFit="1" customWidth="1"/>
    <col min="6" max="6" width="16.85546875" bestFit="1" customWidth="1"/>
    <col min="7" max="7" width="23.28515625" bestFit="1" customWidth="1"/>
    <col min="8" max="8" width="15.5703125" bestFit="1" customWidth="1"/>
    <col min="9" max="9" width="12.7109375" bestFit="1" customWidth="1"/>
    <col min="10" max="10" width="14.85546875" bestFit="1" customWidth="1"/>
    <col min="11" max="11" width="13.140625" bestFit="1" customWidth="1"/>
    <col min="12" max="13" width="14.85546875" bestFit="1" customWidth="1"/>
  </cols>
  <sheetData>
    <row r="1" spans="1:13" x14ac:dyDescent="0.25">
      <c r="A1" s="3" t="s">
        <v>92</v>
      </c>
      <c r="B1" s="3" t="s">
        <v>127</v>
      </c>
      <c r="C1" s="3" t="s">
        <v>91</v>
      </c>
      <c r="E1" s="120" t="s">
        <v>129</v>
      </c>
      <c r="F1" s="121"/>
      <c r="G1" s="122"/>
      <c r="I1" s="120" t="s">
        <v>128</v>
      </c>
      <c r="J1" s="121"/>
      <c r="K1" s="122"/>
    </row>
    <row r="2" spans="1:13" x14ac:dyDescent="0.25">
      <c r="A2" s="1" t="s">
        <v>93</v>
      </c>
      <c r="B2" s="1">
        <v>0.34</v>
      </c>
      <c r="C2" s="1">
        <v>5.67</v>
      </c>
      <c r="E2" s="3" t="s">
        <v>92</v>
      </c>
      <c r="F2" s="3" t="s">
        <v>127</v>
      </c>
      <c r="G2" s="3" t="s">
        <v>91</v>
      </c>
      <c r="I2" s="3" t="s">
        <v>92</v>
      </c>
      <c r="J2" s="3" t="s">
        <v>127</v>
      </c>
      <c r="K2" s="3" t="s">
        <v>91</v>
      </c>
    </row>
    <row r="3" spans="1:13" x14ac:dyDescent="0.25">
      <c r="A3" s="1" t="s">
        <v>94</v>
      </c>
      <c r="B3" s="1">
        <v>0.22</v>
      </c>
      <c r="C3" s="1">
        <v>10.1</v>
      </c>
      <c r="E3" s="1" t="s">
        <v>93</v>
      </c>
      <c r="F3" s="1">
        <v>0.34</v>
      </c>
      <c r="G3" s="1">
        <v>5.67</v>
      </c>
      <c r="I3" s="1" t="s">
        <v>116</v>
      </c>
      <c r="J3" s="1">
        <v>13.41</v>
      </c>
      <c r="K3" s="1">
        <v>169.4</v>
      </c>
    </row>
    <row r="4" spans="1:13" x14ac:dyDescent="0.25">
      <c r="A4" s="1" t="s">
        <v>95</v>
      </c>
      <c r="B4" s="1">
        <v>0.32</v>
      </c>
      <c r="C4" s="1">
        <v>11.3</v>
      </c>
      <c r="E4" s="1" t="s">
        <v>94</v>
      </c>
      <c r="F4" s="1">
        <v>0.22</v>
      </c>
      <c r="G4" s="1">
        <v>10.1</v>
      </c>
      <c r="I4" s="1" t="s">
        <v>117</v>
      </c>
      <c r="J4" s="1">
        <v>5.46</v>
      </c>
      <c r="K4" s="1">
        <v>186.3</v>
      </c>
    </row>
    <row r="5" spans="1:13" x14ac:dyDescent="0.25">
      <c r="A5" s="1" t="s">
        <v>96</v>
      </c>
      <c r="B5" s="1">
        <v>1.23</v>
      </c>
      <c r="C5" s="1">
        <v>18.899999999999999</v>
      </c>
      <c r="E5" s="1" t="s">
        <v>95</v>
      </c>
      <c r="F5" s="1">
        <v>0.32</v>
      </c>
      <c r="G5" s="1">
        <v>11.3</v>
      </c>
      <c r="I5" s="1" t="s">
        <v>118</v>
      </c>
      <c r="J5" s="1">
        <v>4.79</v>
      </c>
      <c r="K5" s="1">
        <v>211.8</v>
      </c>
    </row>
    <row r="6" spans="1:13" x14ac:dyDescent="0.25">
      <c r="A6" s="1" t="s">
        <v>97</v>
      </c>
      <c r="B6" s="1">
        <v>1.81</v>
      </c>
      <c r="C6" s="1">
        <v>20.9</v>
      </c>
      <c r="E6" s="1" t="s">
        <v>96</v>
      </c>
      <c r="F6" s="1">
        <v>1.23</v>
      </c>
      <c r="G6" s="1">
        <v>18.899999999999999</v>
      </c>
      <c r="I6" s="1" t="s">
        <v>119</v>
      </c>
      <c r="J6" s="1">
        <v>8.92</v>
      </c>
      <c r="K6" s="1">
        <v>249.7</v>
      </c>
    </row>
    <row r="7" spans="1:13" x14ac:dyDescent="0.25">
      <c r="A7" s="1" t="s">
        <v>98</v>
      </c>
      <c r="B7" s="1">
        <v>1.02</v>
      </c>
      <c r="C7" s="1">
        <v>22.2</v>
      </c>
      <c r="E7" s="1" t="s">
        <v>97</v>
      </c>
      <c r="F7" s="1">
        <v>1.81</v>
      </c>
      <c r="G7" s="1">
        <v>20.9</v>
      </c>
      <c r="I7" s="1" t="s">
        <v>120</v>
      </c>
      <c r="J7" s="1">
        <v>18.899999999999999</v>
      </c>
      <c r="K7" s="1">
        <v>261.39999999999998</v>
      </c>
    </row>
    <row r="8" spans="1:13" x14ac:dyDescent="0.25">
      <c r="A8" s="1" t="s">
        <v>99</v>
      </c>
      <c r="B8" s="1">
        <v>1.27</v>
      </c>
      <c r="C8" s="1">
        <v>23.8</v>
      </c>
      <c r="E8" s="1" t="s">
        <v>98</v>
      </c>
      <c r="F8" s="1">
        <v>1.02</v>
      </c>
      <c r="G8" s="1">
        <v>22.2</v>
      </c>
      <c r="I8" s="1" t="s">
        <v>121</v>
      </c>
      <c r="J8" s="1">
        <v>15.95</v>
      </c>
      <c r="K8" s="1">
        <v>395.5</v>
      </c>
    </row>
    <row r="9" spans="1:13" x14ac:dyDescent="0.25">
      <c r="A9" s="1" t="s">
        <v>100</v>
      </c>
      <c r="B9" s="1">
        <v>1.07</v>
      </c>
      <c r="C9" s="1">
        <v>24.7</v>
      </c>
      <c r="E9" s="1" t="s">
        <v>99</v>
      </c>
      <c r="F9" s="1">
        <v>1.27</v>
      </c>
      <c r="G9" s="1">
        <v>23.8</v>
      </c>
      <c r="I9" s="1" t="s">
        <v>122</v>
      </c>
      <c r="J9" s="1">
        <v>29.9</v>
      </c>
      <c r="K9" s="1">
        <v>535</v>
      </c>
    </row>
    <row r="10" spans="1:13" x14ac:dyDescent="0.25">
      <c r="A10" s="1" t="s">
        <v>101</v>
      </c>
      <c r="B10" s="1">
        <v>0.67</v>
      </c>
      <c r="C10" s="1">
        <v>27.6</v>
      </c>
      <c r="E10" s="1" t="s">
        <v>100</v>
      </c>
      <c r="F10" s="1">
        <v>1.07</v>
      </c>
      <c r="G10" s="1">
        <v>24.7</v>
      </c>
      <c r="I10" s="1" t="s">
        <v>123</v>
      </c>
      <c r="J10" s="1">
        <v>33.590000000000003</v>
      </c>
      <c r="K10" s="1">
        <v>655.29999999999995</v>
      </c>
    </row>
    <row r="11" spans="1:13" x14ac:dyDescent="0.25">
      <c r="A11" s="1" t="s">
        <v>102</v>
      </c>
      <c r="B11" s="1">
        <v>1.25</v>
      </c>
      <c r="C11" s="1">
        <v>27.6</v>
      </c>
      <c r="E11" s="1" t="s">
        <v>101</v>
      </c>
      <c r="F11" s="1">
        <v>0.67</v>
      </c>
      <c r="G11" s="1">
        <v>27.6</v>
      </c>
      <c r="I11" s="1" t="s">
        <v>124</v>
      </c>
      <c r="J11" s="1">
        <v>38.619999999999997</v>
      </c>
      <c r="K11" s="1">
        <v>815</v>
      </c>
    </row>
    <row r="12" spans="1:13" x14ac:dyDescent="0.25">
      <c r="A12" s="1" t="s">
        <v>103</v>
      </c>
      <c r="B12" s="1">
        <v>0.75</v>
      </c>
      <c r="C12" s="1">
        <v>40.200000000000003</v>
      </c>
      <c r="E12" s="1" t="s">
        <v>102</v>
      </c>
      <c r="F12" s="1">
        <v>1.25</v>
      </c>
      <c r="G12" s="1">
        <v>27.6</v>
      </c>
      <c r="I12" s="1" t="s">
        <v>125</v>
      </c>
      <c r="J12" s="1">
        <v>61.61</v>
      </c>
      <c r="K12" s="1">
        <v>1040</v>
      </c>
    </row>
    <row r="13" spans="1:13" x14ac:dyDescent="0.25">
      <c r="A13" s="1" t="s">
        <v>104</v>
      </c>
      <c r="B13" s="1">
        <v>2.8</v>
      </c>
      <c r="C13" s="1">
        <v>51.6</v>
      </c>
      <c r="E13" s="1" t="s">
        <v>103</v>
      </c>
      <c r="F13" s="1">
        <v>0.75</v>
      </c>
      <c r="G13" s="1">
        <v>40.200000000000003</v>
      </c>
      <c r="I13" s="1" t="s">
        <v>126</v>
      </c>
      <c r="J13" s="1">
        <v>181.3</v>
      </c>
      <c r="K13" s="1">
        <v>2586</v>
      </c>
    </row>
    <row r="14" spans="1:13" x14ac:dyDescent="0.25">
      <c r="A14" s="1" t="s">
        <v>105</v>
      </c>
      <c r="B14" s="1">
        <v>4.9000000000000004</v>
      </c>
      <c r="C14" s="1">
        <v>57.7</v>
      </c>
    </row>
    <row r="15" spans="1:13" x14ac:dyDescent="0.25">
      <c r="A15" s="1" t="s">
        <v>106</v>
      </c>
      <c r="B15" s="1">
        <v>3.5</v>
      </c>
      <c r="C15" s="1">
        <v>63</v>
      </c>
      <c r="E15" s="119" t="s">
        <v>129</v>
      </c>
      <c r="F15" s="119"/>
      <c r="G15" s="119"/>
      <c r="H15" s="119"/>
      <c r="I15" s="119"/>
      <c r="J15" s="119"/>
      <c r="K15" s="119"/>
      <c r="L15" s="119"/>
      <c r="M15" s="119"/>
    </row>
    <row r="16" spans="1:13" x14ac:dyDescent="0.25">
      <c r="A16" s="1" t="s">
        <v>107</v>
      </c>
      <c r="B16" s="1">
        <v>4.45</v>
      </c>
      <c r="C16" s="1">
        <v>66.3</v>
      </c>
      <c r="E16" t="s">
        <v>24</v>
      </c>
    </row>
    <row r="17" spans="1:13" ht="15.75" thickBot="1" x14ac:dyDescent="0.3">
      <c r="A17" s="1" t="s">
        <v>108</v>
      </c>
      <c r="B17" s="1">
        <v>1.6</v>
      </c>
      <c r="C17" s="1">
        <v>67</v>
      </c>
    </row>
    <row r="18" spans="1:13" x14ac:dyDescent="0.25">
      <c r="A18" s="1" t="s">
        <v>109</v>
      </c>
      <c r="B18" s="1">
        <v>4.26</v>
      </c>
      <c r="C18" s="1">
        <v>76.900000000000006</v>
      </c>
      <c r="E18" s="11" t="s">
        <v>25</v>
      </c>
      <c r="F18" s="11"/>
    </row>
    <row r="19" spans="1:13" x14ac:dyDescent="0.25">
      <c r="A19" s="1" t="s">
        <v>110</v>
      </c>
      <c r="B19" s="1">
        <v>5.31</v>
      </c>
      <c r="C19" s="1">
        <v>101.7</v>
      </c>
      <c r="E19" t="s">
        <v>26</v>
      </c>
      <c r="F19">
        <v>0.43237853643241236</v>
      </c>
    </row>
    <row r="20" spans="1:13" x14ac:dyDescent="0.25">
      <c r="A20" s="1" t="s">
        <v>111</v>
      </c>
      <c r="B20" s="1">
        <v>6.4</v>
      </c>
      <c r="C20" s="1">
        <v>116</v>
      </c>
      <c r="E20" t="s">
        <v>27</v>
      </c>
      <c r="F20" s="43">
        <v>0.18695119876743496</v>
      </c>
    </row>
    <row r="21" spans="1:13" x14ac:dyDescent="0.25">
      <c r="A21" s="1" t="s">
        <v>112</v>
      </c>
      <c r="B21" s="1">
        <v>7.15</v>
      </c>
      <c r="C21" s="1">
        <v>119.5</v>
      </c>
      <c r="E21" t="s">
        <v>28</v>
      </c>
      <c r="F21">
        <v>9.6612443074927723E-2</v>
      </c>
    </row>
    <row r="22" spans="1:13" x14ac:dyDescent="0.25">
      <c r="A22" s="1" t="s">
        <v>113</v>
      </c>
      <c r="B22" s="1">
        <v>11.22</v>
      </c>
      <c r="C22" s="1">
        <v>124.2</v>
      </c>
      <c r="E22" t="s">
        <v>29</v>
      </c>
      <c r="F22">
        <v>0.46827000534753094</v>
      </c>
    </row>
    <row r="23" spans="1:13" ht="15.75" thickBot="1" x14ac:dyDescent="0.3">
      <c r="A23" s="1" t="s">
        <v>114</v>
      </c>
      <c r="B23" s="1">
        <v>8.66</v>
      </c>
      <c r="C23" s="1">
        <v>141</v>
      </c>
      <c r="E23" s="9" t="s">
        <v>30</v>
      </c>
      <c r="F23" s="9">
        <v>11</v>
      </c>
    </row>
    <row r="24" spans="1:13" x14ac:dyDescent="0.25">
      <c r="A24" s="1" t="s">
        <v>115</v>
      </c>
      <c r="B24" s="1">
        <v>5.56</v>
      </c>
      <c r="C24" s="1">
        <v>153.9</v>
      </c>
    </row>
    <row r="25" spans="1:13" ht="15.75" thickBot="1" x14ac:dyDescent="0.3">
      <c r="A25" s="1" t="s">
        <v>116</v>
      </c>
      <c r="B25" s="1">
        <v>13.41</v>
      </c>
      <c r="C25" s="1">
        <v>169.4</v>
      </c>
      <c r="E25" t="s">
        <v>31</v>
      </c>
    </row>
    <row r="26" spans="1:13" x14ac:dyDescent="0.25">
      <c r="A26" s="1" t="s">
        <v>117</v>
      </c>
      <c r="B26" s="1">
        <v>5.46</v>
      </c>
      <c r="C26" s="1">
        <v>186.3</v>
      </c>
      <c r="E26" s="10"/>
      <c r="F26" s="10" t="s">
        <v>36</v>
      </c>
      <c r="G26" s="10" t="s">
        <v>37</v>
      </c>
      <c r="H26" s="10" t="s">
        <v>38</v>
      </c>
      <c r="I26" s="10" t="s">
        <v>39</v>
      </c>
      <c r="J26" s="10" t="s">
        <v>40</v>
      </c>
    </row>
    <row r="27" spans="1:13" x14ac:dyDescent="0.25">
      <c r="A27" s="1" t="s">
        <v>118</v>
      </c>
      <c r="B27" s="1">
        <v>4.79</v>
      </c>
      <c r="C27" s="1">
        <v>211.8</v>
      </c>
      <c r="E27" t="s">
        <v>32</v>
      </c>
      <c r="F27">
        <v>1</v>
      </c>
      <c r="G27">
        <v>0.45378154609913768</v>
      </c>
      <c r="H27">
        <v>0.45378154609913768</v>
      </c>
      <c r="I27" s="43">
        <v>2.0694462452391389</v>
      </c>
      <c r="J27">
        <v>0.18412798668730676</v>
      </c>
    </row>
    <row r="28" spans="1:13" x14ac:dyDescent="0.25">
      <c r="A28" s="1" t="s">
        <v>119</v>
      </c>
      <c r="B28" s="1">
        <v>8.92</v>
      </c>
      <c r="C28" s="1">
        <v>249.7</v>
      </c>
      <c r="E28" t="s">
        <v>33</v>
      </c>
      <c r="F28">
        <v>9</v>
      </c>
      <c r="G28" s="43">
        <v>1.97349118117359</v>
      </c>
      <c r="H28">
        <v>0.21927679790817667</v>
      </c>
    </row>
    <row r="29" spans="1:13" ht="15.75" thickBot="1" x14ac:dyDescent="0.3">
      <c r="A29" s="1" t="s">
        <v>120</v>
      </c>
      <c r="B29" s="1">
        <v>18.899999999999999</v>
      </c>
      <c r="C29" s="1">
        <v>261.39999999999998</v>
      </c>
      <c r="E29" s="9" t="s">
        <v>34</v>
      </c>
      <c r="F29" s="9">
        <v>10</v>
      </c>
      <c r="G29" s="9">
        <v>2.4272727272727277</v>
      </c>
      <c r="H29" s="9"/>
      <c r="I29" s="9"/>
      <c r="J29" s="9"/>
    </row>
    <row r="30" spans="1:13" ht="15.75" thickBot="1" x14ac:dyDescent="0.3">
      <c r="A30" s="1" t="s">
        <v>121</v>
      </c>
      <c r="B30" s="1">
        <v>15.95</v>
      </c>
      <c r="C30" s="1">
        <v>395.5</v>
      </c>
    </row>
    <row r="31" spans="1:13" x14ac:dyDescent="0.25">
      <c r="A31" s="1" t="s">
        <v>122</v>
      </c>
      <c r="B31" s="1">
        <v>29.9</v>
      </c>
      <c r="C31" s="1">
        <v>535</v>
      </c>
      <c r="E31" s="10"/>
      <c r="F31" s="10" t="s">
        <v>41</v>
      </c>
      <c r="G31" s="10" t="s">
        <v>29</v>
      </c>
      <c r="H31" s="10" t="s">
        <v>42</v>
      </c>
      <c r="I31" s="10" t="s">
        <v>43</v>
      </c>
      <c r="J31" s="10" t="s">
        <v>44</v>
      </c>
      <c r="K31" s="10" t="s">
        <v>45</v>
      </c>
      <c r="L31" s="10" t="s">
        <v>46</v>
      </c>
      <c r="M31" s="10" t="s">
        <v>47</v>
      </c>
    </row>
    <row r="32" spans="1:13" x14ac:dyDescent="0.25">
      <c r="A32" s="1" t="s">
        <v>123</v>
      </c>
      <c r="B32" s="1">
        <v>33.590000000000003</v>
      </c>
      <c r="C32" s="1">
        <v>655.29999999999995</v>
      </c>
      <c r="E32" t="s">
        <v>130</v>
      </c>
      <c r="F32" s="43">
        <v>0.43689167168973508</v>
      </c>
      <c r="G32">
        <v>0.35442168189778372</v>
      </c>
      <c r="H32">
        <v>1.2326888957536632</v>
      </c>
      <c r="I32">
        <v>0.24892029059896384</v>
      </c>
      <c r="J32">
        <v>-0.36486587466632336</v>
      </c>
      <c r="K32">
        <v>1.2386492180457935</v>
      </c>
      <c r="L32">
        <v>-0.36486587466632336</v>
      </c>
      <c r="M32">
        <v>1.2386492180457935</v>
      </c>
    </row>
    <row r="33" spans="1:13" ht="15.75" thickBot="1" x14ac:dyDescent="0.3">
      <c r="A33" s="1" t="s">
        <v>124</v>
      </c>
      <c r="B33" s="1">
        <v>38.619999999999997</v>
      </c>
      <c r="C33" s="1">
        <v>815</v>
      </c>
      <c r="E33" s="9" t="s">
        <v>131</v>
      </c>
      <c r="F33" s="44">
        <v>2.208091862219563E-2</v>
      </c>
      <c r="G33" s="9">
        <v>1.5349352584738254E-2</v>
      </c>
      <c r="H33" s="9">
        <v>1.438557001039283</v>
      </c>
      <c r="I33" s="9">
        <v>0.18412798668730695</v>
      </c>
      <c r="J33" s="9">
        <v>-1.2641729271685161E-2</v>
      </c>
      <c r="K33" s="9">
        <v>5.6803566516076417E-2</v>
      </c>
      <c r="L33" s="9">
        <v>-1.2641729271685161E-2</v>
      </c>
      <c r="M33" s="9">
        <v>5.6803566516076417E-2</v>
      </c>
    </row>
    <row r="34" spans="1:13" x14ac:dyDescent="0.25">
      <c r="A34" s="1" t="s">
        <v>125</v>
      </c>
      <c r="B34" s="1">
        <v>61.61</v>
      </c>
      <c r="C34" s="1">
        <v>1040</v>
      </c>
    </row>
    <row r="35" spans="1:13" x14ac:dyDescent="0.25">
      <c r="A35" s="1" t="s">
        <v>126</v>
      </c>
      <c r="B35" s="1">
        <v>181.3</v>
      </c>
      <c r="C35" s="1">
        <v>2586</v>
      </c>
      <c r="E35" s="119" t="s">
        <v>128</v>
      </c>
      <c r="F35" s="119"/>
      <c r="G35" s="119"/>
      <c r="H35" s="119"/>
      <c r="I35" s="119"/>
      <c r="J35" s="119"/>
      <c r="K35" s="119"/>
      <c r="L35" s="119"/>
      <c r="M35" s="119"/>
    </row>
    <row r="36" spans="1:13" x14ac:dyDescent="0.25">
      <c r="E36" t="s">
        <v>24</v>
      </c>
    </row>
    <row r="37" spans="1:13" ht="15.75" thickBot="1" x14ac:dyDescent="0.3"/>
    <row r="38" spans="1:13" x14ac:dyDescent="0.25">
      <c r="E38" s="11" t="s">
        <v>25</v>
      </c>
      <c r="F38" s="11"/>
    </row>
    <row r="39" spans="1:13" x14ac:dyDescent="0.25">
      <c r="E39" t="s">
        <v>26</v>
      </c>
      <c r="F39">
        <v>0.99257555413770626</v>
      </c>
    </row>
    <row r="40" spans="1:13" x14ac:dyDescent="0.25">
      <c r="A40" t="s">
        <v>132</v>
      </c>
      <c r="E40" t="s">
        <v>27</v>
      </c>
      <c r="F40" s="43">
        <v>0.98520623067177471</v>
      </c>
    </row>
    <row r="41" spans="1:13" x14ac:dyDescent="0.25">
      <c r="A41" s="46" t="s">
        <v>71</v>
      </c>
      <c r="B41" s="5">
        <f>G48/G28</f>
        <v>192.189029288977</v>
      </c>
      <c r="E41" t="s">
        <v>28</v>
      </c>
      <c r="F41">
        <v>0.98356247852419409</v>
      </c>
    </row>
    <row r="42" spans="1:13" x14ac:dyDescent="0.25">
      <c r="A42" s="46" t="s">
        <v>73</v>
      </c>
      <c r="B42" s="5">
        <f xml:space="preserve"> _xlfn.F.INV.RT(0.05, 9, 9)</f>
        <v>3.17889310445827</v>
      </c>
      <c r="E42" t="s">
        <v>29</v>
      </c>
      <c r="F42">
        <v>6.4917328145548048</v>
      </c>
    </row>
    <row r="43" spans="1:13" ht="15.75" thickBot="1" x14ac:dyDescent="0.3">
      <c r="A43" s="47"/>
      <c r="E43" s="9" t="s">
        <v>30</v>
      </c>
      <c r="F43" s="9">
        <v>11</v>
      </c>
    </row>
    <row r="45" spans="1:13" ht="15.75" thickBot="1" x14ac:dyDescent="0.3">
      <c r="E45" t="s">
        <v>31</v>
      </c>
    </row>
    <row r="46" spans="1:13" x14ac:dyDescent="0.25">
      <c r="E46" s="10"/>
      <c r="F46" s="10" t="s">
        <v>36</v>
      </c>
      <c r="G46" s="10" t="s">
        <v>37</v>
      </c>
      <c r="H46" s="10" t="s">
        <v>38</v>
      </c>
      <c r="I46" s="10" t="s">
        <v>39</v>
      </c>
      <c r="J46" s="10" t="s">
        <v>40</v>
      </c>
    </row>
    <row r="47" spans="1:13" x14ac:dyDescent="0.25">
      <c r="E47" t="s">
        <v>32</v>
      </c>
      <c r="F47">
        <v>1</v>
      </c>
      <c r="G47">
        <v>25258.763718307164</v>
      </c>
      <c r="H47">
        <v>25258.763718307164</v>
      </c>
      <c r="I47" s="43">
        <v>599.36422417569702</v>
      </c>
      <c r="J47">
        <v>1.5162805006420043E-9</v>
      </c>
    </row>
    <row r="48" spans="1:13" x14ac:dyDescent="0.25">
      <c r="E48" t="s">
        <v>33</v>
      </c>
      <c r="F48">
        <v>9</v>
      </c>
      <c r="G48" s="43">
        <v>379.28335442010888</v>
      </c>
      <c r="H48">
        <v>42.142594935567651</v>
      </c>
    </row>
    <row r="49" spans="1:13" ht="15.75" thickBot="1" x14ac:dyDescent="0.3">
      <c r="E49" s="9" t="s">
        <v>34</v>
      </c>
      <c r="F49" s="9">
        <v>10</v>
      </c>
      <c r="G49" s="9">
        <v>25638.047072727273</v>
      </c>
      <c r="H49" s="9"/>
      <c r="I49" s="9"/>
      <c r="J49" s="9"/>
    </row>
    <row r="50" spans="1:13" ht="15.75" thickBot="1" x14ac:dyDescent="0.3"/>
    <row r="51" spans="1:13" x14ac:dyDescent="0.25">
      <c r="E51" s="10"/>
      <c r="F51" s="10" t="s">
        <v>41</v>
      </c>
      <c r="G51" s="10" t="s">
        <v>29</v>
      </c>
      <c r="H51" s="10" t="s">
        <v>42</v>
      </c>
      <c r="I51" s="10" t="s">
        <v>43</v>
      </c>
      <c r="J51" s="10" t="s">
        <v>44</v>
      </c>
      <c r="K51" s="10" t="s">
        <v>45</v>
      </c>
      <c r="L51" s="10" t="s">
        <v>46</v>
      </c>
      <c r="M51" s="10" t="s">
        <v>47</v>
      </c>
    </row>
    <row r="52" spans="1:13" x14ac:dyDescent="0.25">
      <c r="E52" t="s">
        <v>130</v>
      </c>
      <c r="F52" s="43">
        <v>-8.6257667159620368</v>
      </c>
      <c r="G52">
        <v>2.7166494192823465</v>
      </c>
      <c r="H52">
        <v>-3.1751490106664901</v>
      </c>
      <c r="I52">
        <v>1.1272303253894642E-2</v>
      </c>
      <c r="J52">
        <v>-14.771254658603182</v>
      </c>
      <c r="K52">
        <v>-2.480278773320892</v>
      </c>
      <c r="L52">
        <v>-14.771254658603182</v>
      </c>
      <c r="M52">
        <v>-2.480278773320892</v>
      </c>
    </row>
    <row r="53" spans="1:13" ht="15.75" thickBot="1" x14ac:dyDescent="0.3">
      <c r="E53" s="9" t="s">
        <v>131</v>
      </c>
      <c r="F53" s="44">
        <v>7.1401108153739748E-2</v>
      </c>
      <c r="G53" s="9">
        <v>2.9164836351367207E-3</v>
      </c>
      <c r="H53" s="9">
        <v>24.481916268456128</v>
      </c>
      <c r="I53" s="9">
        <v>1.5162805006420096E-9</v>
      </c>
      <c r="J53" s="9">
        <v>6.4803563808331466E-2</v>
      </c>
      <c r="K53" s="9">
        <v>7.799865249914803E-2</v>
      </c>
      <c r="L53" s="9">
        <v>6.4803563808331466E-2</v>
      </c>
      <c r="M53" s="9">
        <v>7.799865249914803E-2</v>
      </c>
    </row>
    <row r="60" spans="1:13" x14ac:dyDescent="0.25">
      <c r="A60" s="3" t="s">
        <v>92</v>
      </c>
      <c r="B60" s="3" t="s">
        <v>127</v>
      </c>
      <c r="C60" s="3" t="s">
        <v>91</v>
      </c>
      <c r="E60" s="120" t="s">
        <v>129</v>
      </c>
      <c r="F60" s="121"/>
      <c r="G60" s="122"/>
      <c r="I60" s="120" t="s">
        <v>128</v>
      </c>
      <c r="J60" s="121"/>
      <c r="K60" s="122"/>
    </row>
    <row r="61" spans="1:13" x14ac:dyDescent="0.25">
      <c r="A61" s="1" t="s">
        <v>93</v>
      </c>
      <c r="B61" s="42">
        <f>B2/C2</f>
        <v>5.9964726631393302E-2</v>
      </c>
      <c r="C61" s="41">
        <f>1/C2</f>
        <v>0.17636684303350969</v>
      </c>
      <c r="E61" s="3" t="s">
        <v>92</v>
      </c>
      <c r="F61" s="3" t="s">
        <v>127</v>
      </c>
      <c r="G61" s="3" t="s">
        <v>91</v>
      </c>
      <c r="I61" s="3" t="s">
        <v>92</v>
      </c>
      <c r="J61" s="3" t="s">
        <v>127</v>
      </c>
      <c r="K61" s="3" t="s">
        <v>91</v>
      </c>
    </row>
    <row r="62" spans="1:13" x14ac:dyDescent="0.25">
      <c r="A62" s="1" t="s">
        <v>94</v>
      </c>
      <c r="B62" s="42">
        <f t="shared" ref="B62:B94" si="0">B3/C3</f>
        <v>2.1782178217821784E-2</v>
      </c>
      <c r="C62" s="41">
        <f t="shared" ref="C62:C94" si="1">1/C3</f>
        <v>9.9009900990099015E-2</v>
      </c>
      <c r="E62" s="1" t="s">
        <v>93</v>
      </c>
      <c r="F62" s="42">
        <f t="shared" ref="F62:F72" si="2">B2/C2</f>
        <v>5.9964726631393302E-2</v>
      </c>
      <c r="G62" s="41">
        <f t="shared" ref="G62:G72" si="3">1/C2</f>
        <v>0.17636684303350969</v>
      </c>
      <c r="I62" s="1" t="s">
        <v>116</v>
      </c>
      <c r="J62" s="42">
        <f t="shared" ref="J62:J72" si="4">B25/C25</f>
        <v>7.9161747343565528E-2</v>
      </c>
      <c r="K62" s="41">
        <f t="shared" ref="K62:K72" si="5">1/C25</f>
        <v>5.9031877213695395E-3</v>
      </c>
    </row>
    <row r="63" spans="1:13" x14ac:dyDescent="0.25">
      <c r="A63" s="1" t="s">
        <v>95</v>
      </c>
      <c r="B63" s="42">
        <f t="shared" si="0"/>
        <v>2.831858407079646E-2</v>
      </c>
      <c r="C63" s="41">
        <f t="shared" si="1"/>
        <v>8.8495575221238937E-2</v>
      </c>
      <c r="E63" s="1" t="s">
        <v>94</v>
      </c>
      <c r="F63" s="42">
        <f t="shared" si="2"/>
        <v>2.1782178217821784E-2</v>
      </c>
      <c r="G63" s="41">
        <f t="shared" si="3"/>
        <v>9.9009900990099015E-2</v>
      </c>
      <c r="I63" s="1" t="s">
        <v>117</v>
      </c>
      <c r="J63" s="42">
        <f t="shared" si="4"/>
        <v>2.930756843800322E-2</v>
      </c>
      <c r="K63" s="41">
        <f t="shared" si="5"/>
        <v>5.3676865271068165E-3</v>
      </c>
    </row>
    <row r="64" spans="1:13" x14ac:dyDescent="0.25">
      <c r="A64" s="1" t="s">
        <v>96</v>
      </c>
      <c r="B64" s="42">
        <f t="shared" si="0"/>
        <v>6.5079365079365084E-2</v>
      </c>
      <c r="C64" s="41">
        <f t="shared" si="1"/>
        <v>5.2910052910052914E-2</v>
      </c>
      <c r="E64" s="1" t="s">
        <v>95</v>
      </c>
      <c r="F64" s="42">
        <f t="shared" si="2"/>
        <v>2.831858407079646E-2</v>
      </c>
      <c r="G64" s="41">
        <f t="shared" si="3"/>
        <v>8.8495575221238937E-2</v>
      </c>
      <c r="I64" s="1" t="s">
        <v>118</v>
      </c>
      <c r="J64" s="42">
        <f t="shared" si="4"/>
        <v>2.2615675165250235E-2</v>
      </c>
      <c r="K64" s="41">
        <f t="shared" si="5"/>
        <v>4.721435316336166E-3</v>
      </c>
    </row>
    <row r="65" spans="1:13" x14ac:dyDescent="0.25">
      <c r="A65" s="1" t="s">
        <v>97</v>
      </c>
      <c r="B65" s="42">
        <f t="shared" si="0"/>
        <v>8.660287081339714E-2</v>
      </c>
      <c r="C65" s="41">
        <f t="shared" si="1"/>
        <v>4.784688995215311E-2</v>
      </c>
      <c r="E65" s="1" t="s">
        <v>96</v>
      </c>
      <c r="F65" s="42">
        <f t="shared" si="2"/>
        <v>6.5079365079365084E-2</v>
      </c>
      <c r="G65" s="41">
        <f t="shared" si="3"/>
        <v>5.2910052910052914E-2</v>
      </c>
      <c r="I65" s="1" t="s">
        <v>119</v>
      </c>
      <c r="J65" s="42">
        <f t="shared" si="4"/>
        <v>3.5722867440929118E-2</v>
      </c>
      <c r="K65" s="41">
        <f t="shared" si="5"/>
        <v>4.0048057669203043E-3</v>
      </c>
    </row>
    <row r="66" spans="1:13" x14ac:dyDescent="0.25">
      <c r="A66" s="1" t="s">
        <v>98</v>
      </c>
      <c r="B66" s="42">
        <f t="shared" si="0"/>
        <v>4.5945945945945948E-2</v>
      </c>
      <c r="C66" s="41">
        <f t="shared" si="1"/>
        <v>4.504504504504505E-2</v>
      </c>
      <c r="E66" s="1" t="s">
        <v>97</v>
      </c>
      <c r="F66" s="42">
        <f t="shared" si="2"/>
        <v>8.660287081339714E-2</v>
      </c>
      <c r="G66" s="41">
        <f t="shared" si="3"/>
        <v>4.784688995215311E-2</v>
      </c>
      <c r="I66" s="1" t="s">
        <v>120</v>
      </c>
      <c r="J66" s="42">
        <f t="shared" si="4"/>
        <v>7.2302983932670234E-2</v>
      </c>
      <c r="K66" s="41">
        <f t="shared" si="5"/>
        <v>3.8255547054322882E-3</v>
      </c>
    </row>
    <row r="67" spans="1:13" x14ac:dyDescent="0.25">
      <c r="A67" s="1" t="s">
        <v>99</v>
      </c>
      <c r="B67" s="42">
        <f t="shared" si="0"/>
        <v>5.3361344537815124E-2</v>
      </c>
      <c r="C67" s="41">
        <f t="shared" si="1"/>
        <v>4.2016806722689072E-2</v>
      </c>
      <c r="E67" s="1" t="s">
        <v>98</v>
      </c>
      <c r="F67" s="42">
        <f t="shared" si="2"/>
        <v>4.5945945945945948E-2</v>
      </c>
      <c r="G67" s="41">
        <f t="shared" si="3"/>
        <v>4.504504504504505E-2</v>
      </c>
      <c r="I67" s="1" t="s">
        <v>121</v>
      </c>
      <c r="J67" s="42">
        <f t="shared" si="4"/>
        <v>4.0328697850821743E-2</v>
      </c>
      <c r="K67" s="41">
        <f t="shared" si="5"/>
        <v>2.5284450063211127E-3</v>
      </c>
    </row>
    <row r="68" spans="1:13" x14ac:dyDescent="0.25">
      <c r="A68" s="1" t="s">
        <v>100</v>
      </c>
      <c r="B68" s="42">
        <f t="shared" si="0"/>
        <v>4.3319838056680167E-2</v>
      </c>
      <c r="C68" s="41">
        <f t="shared" si="1"/>
        <v>4.048582995951417E-2</v>
      </c>
      <c r="E68" s="1" t="s">
        <v>99</v>
      </c>
      <c r="F68" s="42">
        <f t="shared" si="2"/>
        <v>5.3361344537815124E-2</v>
      </c>
      <c r="G68" s="41">
        <f t="shared" si="3"/>
        <v>4.2016806722689072E-2</v>
      </c>
      <c r="I68" s="1" t="s">
        <v>122</v>
      </c>
      <c r="J68" s="42">
        <f t="shared" si="4"/>
        <v>5.5887850467289717E-2</v>
      </c>
      <c r="K68" s="41">
        <f t="shared" si="5"/>
        <v>1.869158878504673E-3</v>
      </c>
    </row>
    <row r="69" spans="1:13" x14ac:dyDescent="0.25">
      <c r="A69" s="1" t="s">
        <v>101</v>
      </c>
      <c r="B69" s="42">
        <f t="shared" si="0"/>
        <v>2.4275362318840581E-2</v>
      </c>
      <c r="C69" s="41">
        <f t="shared" si="1"/>
        <v>3.6231884057971016E-2</v>
      </c>
      <c r="E69" s="1" t="s">
        <v>100</v>
      </c>
      <c r="F69" s="42">
        <f t="shared" si="2"/>
        <v>4.3319838056680167E-2</v>
      </c>
      <c r="G69" s="41">
        <f t="shared" si="3"/>
        <v>4.048582995951417E-2</v>
      </c>
      <c r="I69" s="1" t="s">
        <v>123</v>
      </c>
      <c r="J69" s="42">
        <f t="shared" si="4"/>
        <v>5.1258965359377393E-2</v>
      </c>
      <c r="K69" s="41">
        <f t="shared" si="5"/>
        <v>1.5260186174271327E-3</v>
      </c>
    </row>
    <row r="70" spans="1:13" x14ac:dyDescent="0.25">
      <c r="A70" s="1" t="s">
        <v>102</v>
      </c>
      <c r="B70" s="42">
        <f t="shared" si="0"/>
        <v>4.5289855072463768E-2</v>
      </c>
      <c r="C70" s="41">
        <f t="shared" si="1"/>
        <v>3.6231884057971016E-2</v>
      </c>
      <c r="E70" s="1" t="s">
        <v>101</v>
      </c>
      <c r="F70" s="42">
        <f t="shared" si="2"/>
        <v>2.4275362318840581E-2</v>
      </c>
      <c r="G70" s="41">
        <f t="shared" si="3"/>
        <v>3.6231884057971016E-2</v>
      </c>
      <c r="I70" s="1" t="s">
        <v>124</v>
      </c>
      <c r="J70" s="42">
        <f t="shared" si="4"/>
        <v>4.738650306748466E-2</v>
      </c>
      <c r="K70" s="41">
        <f t="shared" si="5"/>
        <v>1.2269938650306749E-3</v>
      </c>
    </row>
    <row r="71" spans="1:13" x14ac:dyDescent="0.25">
      <c r="A71" s="1" t="s">
        <v>103</v>
      </c>
      <c r="B71" s="42">
        <f t="shared" si="0"/>
        <v>1.8656716417910446E-2</v>
      </c>
      <c r="C71" s="41">
        <f t="shared" si="1"/>
        <v>2.4875621890547261E-2</v>
      </c>
      <c r="E71" s="1" t="s">
        <v>102</v>
      </c>
      <c r="F71" s="42">
        <f t="shared" si="2"/>
        <v>4.5289855072463768E-2</v>
      </c>
      <c r="G71" s="41">
        <f t="shared" si="3"/>
        <v>3.6231884057971016E-2</v>
      </c>
      <c r="I71" s="1" t="s">
        <v>125</v>
      </c>
      <c r="J71" s="42">
        <f t="shared" si="4"/>
        <v>5.9240384615384611E-2</v>
      </c>
      <c r="K71" s="41">
        <f t="shared" si="5"/>
        <v>9.6153846153846159E-4</v>
      </c>
    </row>
    <row r="72" spans="1:13" x14ac:dyDescent="0.25">
      <c r="A72" s="1" t="s">
        <v>104</v>
      </c>
      <c r="B72" s="42">
        <f t="shared" si="0"/>
        <v>5.4263565891472861E-2</v>
      </c>
      <c r="C72" s="41">
        <f t="shared" si="1"/>
        <v>1.937984496124031E-2</v>
      </c>
      <c r="E72" s="1" t="s">
        <v>103</v>
      </c>
      <c r="F72" s="42">
        <f t="shared" si="2"/>
        <v>1.8656716417910446E-2</v>
      </c>
      <c r="G72" s="41">
        <f t="shared" si="3"/>
        <v>2.4875621890547261E-2</v>
      </c>
      <c r="I72" s="1" t="s">
        <v>126</v>
      </c>
      <c r="J72" s="42">
        <f t="shared" si="4"/>
        <v>7.0108275328692973E-2</v>
      </c>
      <c r="K72" s="41">
        <f t="shared" si="5"/>
        <v>3.8669760247486468E-4</v>
      </c>
    </row>
    <row r="73" spans="1:13" x14ac:dyDescent="0.25">
      <c r="A73" s="1" t="s">
        <v>105</v>
      </c>
      <c r="B73" s="42">
        <f t="shared" si="0"/>
        <v>8.4922010398613523E-2</v>
      </c>
      <c r="C73" s="41">
        <f t="shared" si="1"/>
        <v>1.7331022530329289E-2</v>
      </c>
    </row>
    <row r="74" spans="1:13" x14ac:dyDescent="0.25">
      <c r="A74" s="1" t="s">
        <v>106</v>
      </c>
      <c r="B74" s="42">
        <f t="shared" si="0"/>
        <v>5.5555555555555552E-2</v>
      </c>
      <c r="C74" s="41">
        <f t="shared" si="1"/>
        <v>1.5873015873015872E-2</v>
      </c>
      <c r="E74" s="119" t="s">
        <v>129</v>
      </c>
      <c r="F74" s="119"/>
      <c r="G74" s="119"/>
      <c r="H74" s="119"/>
      <c r="I74" s="119"/>
      <c r="J74" s="119"/>
      <c r="K74" s="119"/>
      <c r="L74" s="119"/>
      <c r="M74" s="119"/>
    </row>
    <row r="75" spans="1:13" x14ac:dyDescent="0.25">
      <c r="A75" s="1" t="s">
        <v>107</v>
      </c>
      <c r="B75" s="42">
        <f t="shared" si="0"/>
        <v>6.7119155354449483E-2</v>
      </c>
      <c r="C75" s="41">
        <f t="shared" si="1"/>
        <v>1.5082956259426848E-2</v>
      </c>
      <c r="E75" t="s">
        <v>24</v>
      </c>
    </row>
    <row r="76" spans="1:13" ht="15.75" thickBot="1" x14ac:dyDescent="0.3">
      <c r="A76" s="1" t="s">
        <v>108</v>
      </c>
      <c r="B76" s="42">
        <f t="shared" si="0"/>
        <v>2.3880597014925373E-2</v>
      </c>
      <c r="C76" s="41">
        <f t="shared" si="1"/>
        <v>1.4925373134328358E-2</v>
      </c>
    </row>
    <row r="77" spans="1:13" x14ac:dyDescent="0.25">
      <c r="A77" s="1" t="s">
        <v>109</v>
      </c>
      <c r="B77" s="42">
        <f t="shared" si="0"/>
        <v>5.53966189856957E-2</v>
      </c>
      <c r="C77" s="41">
        <f t="shared" si="1"/>
        <v>1.3003901170351105E-2</v>
      </c>
      <c r="E77" s="11" t="s">
        <v>25</v>
      </c>
      <c r="F77" s="11"/>
    </row>
    <row r="78" spans="1:13" x14ac:dyDescent="0.25">
      <c r="A78" s="1" t="s">
        <v>110</v>
      </c>
      <c r="B78" s="42">
        <f t="shared" si="0"/>
        <v>5.2212389380530966E-2</v>
      </c>
      <c r="C78" s="41">
        <f t="shared" si="1"/>
        <v>9.8328416912487702E-3</v>
      </c>
      <c r="E78" t="s">
        <v>26</v>
      </c>
      <c r="F78">
        <v>0.10869613077926335</v>
      </c>
    </row>
    <row r="79" spans="1:13" x14ac:dyDescent="0.25">
      <c r="A79" s="1" t="s">
        <v>111</v>
      </c>
      <c r="B79" s="42">
        <f t="shared" si="0"/>
        <v>5.5172413793103454E-2</v>
      </c>
      <c r="C79" s="41">
        <f t="shared" si="1"/>
        <v>8.6206896551724137E-3</v>
      </c>
      <c r="E79" t="s">
        <v>27</v>
      </c>
      <c r="F79" s="43">
        <v>1.1814848846382722E-2</v>
      </c>
    </row>
    <row r="80" spans="1:13" x14ac:dyDescent="0.25">
      <c r="A80" s="1" t="s">
        <v>112</v>
      </c>
      <c r="B80" s="42">
        <f t="shared" si="0"/>
        <v>5.9832635983263605E-2</v>
      </c>
      <c r="C80" s="41">
        <f t="shared" si="1"/>
        <v>8.368200836820083E-3</v>
      </c>
      <c r="E80" t="s">
        <v>28</v>
      </c>
      <c r="F80">
        <v>-9.7983501281796975E-2</v>
      </c>
    </row>
    <row r="81" spans="1:13" x14ac:dyDescent="0.25">
      <c r="A81" s="1" t="s">
        <v>113</v>
      </c>
      <c r="B81" s="42">
        <f t="shared" si="0"/>
        <v>9.0338164251207734E-2</v>
      </c>
      <c r="C81" s="41">
        <f t="shared" si="1"/>
        <v>8.0515297906602248E-3</v>
      </c>
      <c r="E81" t="s">
        <v>29</v>
      </c>
      <c r="F81">
        <v>2.1909597186159691E-2</v>
      </c>
    </row>
    <row r="82" spans="1:13" ht="15.75" thickBot="1" x14ac:dyDescent="0.3">
      <c r="A82" s="1" t="s">
        <v>114</v>
      </c>
      <c r="B82" s="42">
        <f t="shared" si="0"/>
        <v>6.1418439716312057E-2</v>
      </c>
      <c r="C82" s="41">
        <f t="shared" si="1"/>
        <v>7.0921985815602835E-3</v>
      </c>
      <c r="E82" s="9" t="s">
        <v>30</v>
      </c>
      <c r="F82" s="9">
        <v>11</v>
      </c>
    </row>
    <row r="83" spans="1:13" x14ac:dyDescent="0.25">
      <c r="A83" s="1" t="s">
        <v>115</v>
      </c>
      <c r="B83" s="42">
        <f t="shared" si="0"/>
        <v>3.6127355425601033E-2</v>
      </c>
      <c r="C83" s="41">
        <f t="shared" si="1"/>
        <v>6.4977257959714096E-3</v>
      </c>
    </row>
    <row r="84" spans="1:13" ht="15.75" thickBot="1" x14ac:dyDescent="0.3">
      <c r="A84" s="1" t="s">
        <v>116</v>
      </c>
      <c r="B84" s="42">
        <f t="shared" si="0"/>
        <v>7.9161747343565528E-2</v>
      </c>
      <c r="C84" s="41">
        <f t="shared" si="1"/>
        <v>5.9031877213695395E-3</v>
      </c>
      <c r="E84" t="s">
        <v>31</v>
      </c>
    </row>
    <row r="85" spans="1:13" x14ac:dyDescent="0.25">
      <c r="A85" s="1" t="s">
        <v>117</v>
      </c>
      <c r="B85" s="42">
        <f t="shared" si="0"/>
        <v>2.930756843800322E-2</v>
      </c>
      <c r="C85" s="41">
        <f t="shared" si="1"/>
        <v>5.3676865271068165E-3</v>
      </c>
      <c r="E85" s="10"/>
      <c r="F85" s="10" t="s">
        <v>36</v>
      </c>
      <c r="G85" s="10" t="s">
        <v>37</v>
      </c>
      <c r="H85" s="10" t="s">
        <v>38</v>
      </c>
      <c r="I85" s="10" t="s">
        <v>39</v>
      </c>
      <c r="J85" s="10" t="s">
        <v>40</v>
      </c>
    </row>
    <row r="86" spans="1:13" x14ac:dyDescent="0.25">
      <c r="A86" s="1" t="s">
        <v>118</v>
      </c>
      <c r="B86" s="42">
        <f t="shared" si="0"/>
        <v>2.2615675165250235E-2</v>
      </c>
      <c r="C86" s="41">
        <f t="shared" si="1"/>
        <v>4.721435316336166E-3</v>
      </c>
      <c r="E86" t="s">
        <v>32</v>
      </c>
      <c r="F86">
        <v>1</v>
      </c>
      <c r="G86">
        <v>5.1653664998777861E-5</v>
      </c>
      <c r="H86">
        <v>5.1653664998777861E-5</v>
      </c>
      <c r="I86" s="43">
        <v>0.10760497614572487</v>
      </c>
      <c r="J86">
        <v>0.75039013898978957</v>
      </c>
    </row>
    <row r="87" spans="1:13" x14ac:dyDescent="0.25">
      <c r="A87" s="1" t="s">
        <v>119</v>
      </c>
      <c r="B87" s="42">
        <f t="shared" si="0"/>
        <v>3.5722867440929118E-2</v>
      </c>
      <c r="C87" s="41">
        <f t="shared" si="1"/>
        <v>4.0048057669203043E-3</v>
      </c>
      <c r="E87" t="s">
        <v>33</v>
      </c>
      <c r="F87">
        <v>9</v>
      </c>
      <c r="G87" s="45">
        <v>4.3202740397379896E-3</v>
      </c>
      <c r="H87">
        <v>4.800304488597766E-4</v>
      </c>
    </row>
    <row r="88" spans="1:13" ht="15.75" thickBot="1" x14ac:dyDescent="0.3">
      <c r="A88" s="1" t="s">
        <v>120</v>
      </c>
      <c r="B88" s="42">
        <f t="shared" si="0"/>
        <v>7.2302983932670234E-2</v>
      </c>
      <c r="C88" s="41">
        <f t="shared" si="1"/>
        <v>3.8255547054322882E-3</v>
      </c>
      <c r="E88" s="9" t="s">
        <v>34</v>
      </c>
      <c r="F88" s="9">
        <v>10</v>
      </c>
      <c r="G88" s="9">
        <v>4.3719277047367675E-3</v>
      </c>
      <c r="H88" s="9"/>
      <c r="I88" s="9"/>
      <c r="J88" s="9"/>
    </row>
    <row r="89" spans="1:13" ht="15.75" thickBot="1" x14ac:dyDescent="0.3">
      <c r="A89" s="1" t="s">
        <v>121</v>
      </c>
      <c r="B89" s="42">
        <f t="shared" si="0"/>
        <v>4.0328697850821743E-2</v>
      </c>
      <c r="C89" s="41">
        <f t="shared" si="1"/>
        <v>2.5284450063211127E-3</v>
      </c>
    </row>
    <row r="90" spans="1:13" x14ac:dyDescent="0.25">
      <c r="A90" s="1" t="s">
        <v>122</v>
      </c>
      <c r="B90" s="42">
        <f t="shared" si="0"/>
        <v>5.5887850467289717E-2</v>
      </c>
      <c r="C90" s="41">
        <f t="shared" si="1"/>
        <v>1.869158878504673E-3</v>
      </c>
      <c r="E90" s="10"/>
      <c r="F90" s="10" t="s">
        <v>41</v>
      </c>
      <c r="G90" s="10" t="s">
        <v>29</v>
      </c>
      <c r="H90" s="10" t="s">
        <v>42</v>
      </c>
      <c r="I90" s="10" t="s">
        <v>43</v>
      </c>
      <c r="J90" s="10" t="s">
        <v>44</v>
      </c>
      <c r="K90" s="10" t="s">
        <v>45</v>
      </c>
      <c r="L90" s="10" t="s">
        <v>46</v>
      </c>
      <c r="M90" s="10" t="s">
        <v>47</v>
      </c>
    </row>
    <row r="91" spans="1:13" x14ac:dyDescent="0.25">
      <c r="A91" s="1" t="s">
        <v>123</v>
      </c>
      <c r="B91" s="42">
        <f t="shared" si="0"/>
        <v>5.1258965359377393E-2</v>
      </c>
      <c r="C91" s="41">
        <f t="shared" si="1"/>
        <v>1.5260186174271327E-3</v>
      </c>
      <c r="E91" t="s">
        <v>130</v>
      </c>
      <c r="F91" s="43">
        <v>4.1537454440267622E-2</v>
      </c>
      <c r="G91">
        <v>1.1892910037216368E-2</v>
      </c>
      <c r="H91">
        <v>3.4926232780946687</v>
      </c>
      <c r="I91">
        <v>6.8020073936270317E-3</v>
      </c>
      <c r="J91">
        <v>1.4633822813063944E-2</v>
      </c>
      <c r="K91">
        <v>6.8441086067471305E-2</v>
      </c>
      <c r="L91">
        <v>1.4633822813063944E-2</v>
      </c>
      <c r="M91">
        <v>6.8441086067471305E-2</v>
      </c>
    </row>
    <row r="92" spans="1:13" ht="15.75" thickBot="1" x14ac:dyDescent="0.3">
      <c r="A92" s="1" t="s">
        <v>124</v>
      </c>
      <c r="B92" s="42">
        <f t="shared" si="0"/>
        <v>4.738650306748466E-2</v>
      </c>
      <c r="C92" s="41">
        <f t="shared" si="1"/>
        <v>1.2269938650306749E-3</v>
      </c>
      <c r="E92" s="9" t="s">
        <v>131</v>
      </c>
      <c r="F92" s="44">
        <v>5.1753361839467972E-2</v>
      </c>
      <c r="G92" s="9">
        <v>0.15776926000612584</v>
      </c>
      <c r="H92" s="9">
        <v>0.32803197427343261</v>
      </c>
      <c r="I92" s="9">
        <v>0.75039013898978835</v>
      </c>
      <c r="J92" s="9">
        <v>-0.30514549975276201</v>
      </c>
      <c r="K92" s="9">
        <v>0.40865222343169799</v>
      </c>
      <c r="L92" s="9">
        <v>-0.30514549975276201</v>
      </c>
      <c r="M92" s="9">
        <v>0.40865222343169799</v>
      </c>
    </row>
    <row r="93" spans="1:13" x14ac:dyDescent="0.25">
      <c r="A93" s="1" t="s">
        <v>125</v>
      </c>
      <c r="B93" s="42">
        <f t="shared" si="0"/>
        <v>5.9240384615384611E-2</v>
      </c>
      <c r="C93" s="41">
        <f t="shared" si="1"/>
        <v>9.6153846153846159E-4</v>
      </c>
    </row>
    <row r="94" spans="1:13" x14ac:dyDescent="0.25">
      <c r="A94" s="1" t="s">
        <v>126</v>
      </c>
      <c r="B94" s="42">
        <f t="shared" si="0"/>
        <v>7.0108275328692973E-2</v>
      </c>
      <c r="C94" s="41">
        <f t="shared" si="1"/>
        <v>3.8669760247486468E-4</v>
      </c>
      <c r="E94" s="119" t="s">
        <v>128</v>
      </c>
      <c r="F94" s="119"/>
      <c r="G94" s="119"/>
      <c r="H94" s="119"/>
      <c r="I94" s="119"/>
      <c r="J94" s="119"/>
      <c r="K94" s="119"/>
      <c r="L94" s="119"/>
      <c r="M94" s="119"/>
    </row>
    <row r="95" spans="1:13" x14ac:dyDescent="0.25">
      <c r="E95" t="s">
        <v>24</v>
      </c>
    </row>
    <row r="96" spans="1:13" ht="15.75" thickBot="1" x14ac:dyDescent="0.3"/>
    <row r="97" spans="1:13" x14ac:dyDescent="0.25">
      <c r="E97" s="11" t="s">
        <v>25</v>
      </c>
      <c r="F97" s="11"/>
    </row>
    <row r="98" spans="1:13" x14ac:dyDescent="0.25">
      <c r="E98" t="s">
        <v>26</v>
      </c>
      <c r="F98">
        <v>0.22151260460740332</v>
      </c>
    </row>
    <row r="99" spans="1:13" x14ac:dyDescent="0.25">
      <c r="A99" t="s">
        <v>132</v>
      </c>
      <c r="E99" t="s">
        <v>27</v>
      </c>
      <c r="F99" s="43">
        <v>4.9067833999955804E-2</v>
      </c>
    </row>
    <row r="100" spans="1:13" x14ac:dyDescent="0.25">
      <c r="A100" s="46" t="s">
        <v>71</v>
      </c>
      <c r="B100" s="4">
        <f>G107/G87</f>
        <v>0.73515507245329481</v>
      </c>
      <c r="E100" t="s">
        <v>28</v>
      </c>
      <c r="F100">
        <v>-5.6591295555604666E-2</v>
      </c>
    </row>
    <row r="101" spans="1:13" x14ac:dyDescent="0.25">
      <c r="A101" s="46" t="s">
        <v>73</v>
      </c>
      <c r="B101" s="5">
        <f xml:space="preserve"> _xlfn.F.INV.RT(0.05, 9, 9)</f>
        <v>3.17889310445827</v>
      </c>
      <c r="E101" t="s">
        <v>29</v>
      </c>
      <c r="F101">
        <v>1.8785548153069601E-2</v>
      </c>
    </row>
    <row r="102" spans="1:13" ht="15.75" thickBot="1" x14ac:dyDescent="0.3">
      <c r="E102" s="9" t="s">
        <v>30</v>
      </c>
      <c r="F102" s="9">
        <v>11</v>
      </c>
    </row>
    <row r="104" spans="1:13" ht="15.75" thickBot="1" x14ac:dyDescent="0.3">
      <c r="E104" t="s">
        <v>31</v>
      </c>
    </row>
    <row r="105" spans="1:13" x14ac:dyDescent="0.25">
      <c r="E105" s="10"/>
      <c r="F105" s="10" t="s">
        <v>36</v>
      </c>
      <c r="G105" s="10" t="s">
        <v>37</v>
      </c>
      <c r="H105" s="10" t="s">
        <v>38</v>
      </c>
      <c r="I105" s="10" t="s">
        <v>39</v>
      </c>
      <c r="J105" s="10" t="s">
        <v>40</v>
      </c>
    </row>
    <row r="106" spans="1:13" x14ac:dyDescent="0.25">
      <c r="E106" t="s">
        <v>32</v>
      </c>
      <c r="F106">
        <v>1</v>
      </c>
      <c r="G106">
        <v>1.6388439528910179E-4</v>
      </c>
      <c r="H106">
        <v>1.6388439528910179E-4</v>
      </c>
      <c r="I106" s="43">
        <v>0.46439748468828396</v>
      </c>
      <c r="J106">
        <v>0.51272797736156117</v>
      </c>
    </row>
    <row r="107" spans="1:13" x14ac:dyDescent="0.25">
      <c r="E107" t="s">
        <v>33</v>
      </c>
      <c r="F107">
        <v>9</v>
      </c>
      <c r="G107" s="45">
        <v>3.1760713747016707E-3</v>
      </c>
      <c r="H107">
        <v>3.5289681941129674E-4</v>
      </c>
    </row>
    <row r="108" spans="1:13" ht="15.75" thickBot="1" x14ac:dyDescent="0.3">
      <c r="E108" s="9" t="s">
        <v>34</v>
      </c>
      <c r="F108" s="9">
        <v>10</v>
      </c>
      <c r="G108" s="9">
        <v>3.3399557699907725E-3</v>
      </c>
      <c r="H108" s="9"/>
      <c r="I108" s="9"/>
      <c r="J108" s="9"/>
    </row>
    <row r="109" spans="1:13" ht="15.75" thickBot="1" x14ac:dyDescent="0.3"/>
    <row r="110" spans="1:13" x14ac:dyDescent="0.25">
      <c r="E110" s="10"/>
      <c r="F110" s="10" t="s">
        <v>41</v>
      </c>
      <c r="G110" s="10" t="s">
        <v>29</v>
      </c>
      <c r="H110" s="10" t="s">
        <v>42</v>
      </c>
      <c r="I110" s="10" t="s">
        <v>43</v>
      </c>
      <c r="J110" s="10" t="s">
        <v>44</v>
      </c>
      <c r="K110" s="10" t="s">
        <v>45</v>
      </c>
      <c r="L110" s="10" t="s">
        <v>46</v>
      </c>
      <c r="M110" s="10" t="s">
        <v>47</v>
      </c>
    </row>
    <row r="111" spans="1:13" x14ac:dyDescent="0.25">
      <c r="E111" t="s">
        <v>130</v>
      </c>
      <c r="F111" s="43">
        <v>5.7441568955192104E-2</v>
      </c>
      <c r="G111">
        <v>1.0755111548391816E-2</v>
      </c>
      <c r="H111">
        <v>5.3408622213482477</v>
      </c>
      <c r="I111">
        <v>4.6794226635027929E-4</v>
      </c>
      <c r="J111">
        <v>3.3111816329303864E-2</v>
      </c>
      <c r="K111">
        <v>8.1771321581080345E-2</v>
      </c>
      <c r="L111">
        <v>3.3111816329303864E-2</v>
      </c>
      <c r="M111">
        <v>8.1771321581080345E-2</v>
      </c>
    </row>
    <row r="112" spans="1:13" ht="15.75" thickBot="1" x14ac:dyDescent="0.3">
      <c r="E112" s="9" t="s">
        <v>131</v>
      </c>
      <c r="F112" s="44">
        <v>-2.1204366089041105</v>
      </c>
      <c r="G112" s="9">
        <v>3.1115756500907947</v>
      </c>
      <c r="H112" s="9">
        <v>-0.68146715598646523</v>
      </c>
      <c r="I112" s="9">
        <v>0.51272797736156239</v>
      </c>
      <c r="J112" s="9">
        <v>-9.1593097533454841</v>
      </c>
      <c r="K112" s="9">
        <v>4.9184365355372623</v>
      </c>
      <c r="L112" s="9">
        <v>-9.1593097533454841</v>
      </c>
      <c r="M112" s="9">
        <v>4.9184365355372623</v>
      </c>
    </row>
  </sheetData>
  <sortState ref="A2:C35">
    <sortCondition ref="C2:C35"/>
  </sortState>
  <mergeCells count="8">
    <mergeCell ref="E74:M74"/>
    <mergeCell ref="E94:M94"/>
    <mergeCell ref="E1:G1"/>
    <mergeCell ref="I1:K1"/>
    <mergeCell ref="E15:M15"/>
    <mergeCell ref="E35:M35"/>
    <mergeCell ref="E60:G60"/>
    <mergeCell ref="I60:K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FCF5-B9B9-4A43-B79F-8D724C587E8F}">
  <dimension ref="A1:T39"/>
  <sheetViews>
    <sheetView zoomScale="70" zoomScaleNormal="115" workbookViewId="0">
      <selection activeCell="O29" sqref="O29"/>
    </sheetView>
  </sheetViews>
  <sheetFormatPr defaultColWidth="7.85546875" defaultRowHeight="18.75" x14ac:dyDescent="0.3"/>
  <cols>
    <col min="1" max="1" width="13" style="17" bestFit="1" customWidth="1"/>
    <col min="2" max="2" width="8" style="17" bestFit="1" customWidth="1"/>
    <col min="3" max="4" width="7.140625" style="17" bestFit="1" customWidth="1"/>
    <col min="5" max="5" width="8" style="17" bestFit="1" customWidth="1"/>
    <col min="6" max="6" width="14" style="17" bestFit="1" customWidth="1"/>
    <col min="7" max="7" width="7.140625" style="17" bestFit="1" customWidth="1"/>
    <col min="8" max="8" width="18.28515625" style="17" bestFit="1" customWidth="1"/>
    <col min="9" max="10" width="7.140625" style="17" bestFit="1" customWidth="1"/>
    <col min="11" max="11" width="7.85546875" style="17"/>
    <col min="12" max="12" width="33.5703125" style="17" bestFit="1" customWidth="1"/>
    <col min="13" max="13" width="21" style="17" bestFit="1" customWidth="1"/>
    <col min="14" max="14" width="29" style="17" bestFit="1" customWidth="1"/>
    <col min="15" max="15" width="19.28515625" style="17" bestFit="1" customWidth="1"/>
    <col min="16" max="16" width="15.140625" style="17" bestFit="1" customWidth="1"/>
    <col min="17" max="17" width="19" style="17" bestFit="1" customWidth="1"/>
    <col min="18" max="18" width="17.28515625" style="17" bestFit="1" customWidth="1"/>
    <col min="19" max="19" width="20.140625" style="17" bestFit="1" customWidth="1"/>
    <col min="20" max="20" width="19.5703125" style="17" bestFit="1" customWidth="1"/>
    <col min="21" max="16384" width="7.85546875" style="17"/>
  </cols>
  <sheetData>
    <row r="1" spans="1:10" x14ac:dyDescent="0.3">
      <c r="A1" s="7" t="s">
        <v>60</v>
      </c>
      <c r="B1" s="7" t="s">
        <v>20</v>
      </c>
      <c r="C1" s="7" t="s">
        <v>21</v>
      </c>
      <c r="D1" s="7" t="s">
        <v>140</v>
      </c>
      <c r="E1" s="7" t="s">
        <v>141</v>
      </c>
      <c r="F1" s="7" t="s">
        <v>142</v>
      </c>
      <c r="G1" s="7" t="s">
        <v>147</v>
      </c>
      <c r="H1" s="7" t="s">
        <v>148</v>
      </c>
      <c r="I1" s="7" t="s">
        <v>143</v>
      </c>
      <c r="J1" s="7" t="s">
        <v>144</v>
      </c>
    </row>
    <row r="2" spans="1:10" x14ac:dyDescent="0.3">
      <c r="A2" s="7">
        <v>1</v>
      </c>
      <c r="B2" s="31">
        <v>2.2999999999999998</v>
      </c>
      <c r="C2" s="82">
        <v>2.5</v>
      </c>
      <c r="D2" s="82">
        <f>4.73 - 0.79*B2</f>
        <v>2.9130000000000003</v>
      </c>
      <c r="E2" s="83">
        <f>C2-D2</f>
        <v>-0.41300000000000026</v>
      </c>
      <c r="F2" s="31" t="s">
        <v>146</v>
      </c>
      <c r="G2" s="82">
        <f t="shared" ref="G2:G26" si="0">E2^2</f>
        <v>0.17056900000000022</v>
      </c>
      <c r="H2" s="82" t="s">
        <v>146</v>
      </c>
      <c r="I2" s="6">
        <f>SQRT(ABS(1-(1-2.77/2)^2))*B2</f>
        <v>2.122708117005256</v>
      </c>
      <c r="J2" s="6">
        <f>SQRT(ABS(1-(1-2.77/2)^2))*C2</f>
        <v>2.3072914315274522</v>
      </c>
    </row>
    <row r="3" spans="1:10" x14ac:dyDescent="0.3">
      <c r="A3" s="7">
        <v>2</v>
      </c>
      <c r="B3" s="31">
        <v>3.3</v>
      </c>
      <c r="C3" s="82">
        <v>2.1</v>
      </c>
      <c r="D3" s="82">
        <f t="shared" ref="D3:D26" si="1">4.73 - 0.79*B3</f>
        <v>2.1230000000000007</v>
      </c>
      <c r="E3" s="83">
        <f t="shared" ref="E3:E26" si="2">C3-D3</f>
        <v>-2.3000000000000576E-2</v>
      </c>
      <c r="F3" s="6">
        <f>E3-E2</f>
        <v>0.38999999999999968</v>
      </c>
      <c r="G3" s="82">
        <f t="shared" si="0"/>
        <v>5.2900000000002652E-4</v>
      </c>
      <c r="H3" s="82">
        <f t="shared" ref="H3:H26" si="3">F3^2</f>
        <v>0.15209999999999976</v>
      </c>
      <c r="I3" s="6">
        <f t="shared" ref="I3:I26" si="4">B3-(1-2.77/2)*B2</f>
        <v>4.1854999999999993</v>
      </c>
      <c r="J3" s="6">
        <f t="shared" ref="J3:J26" si="5">C3-(1-2.77/2)*C2</f>
        <v>3.0625</v>
      </c>
    </row>
    <row r="4" spans="1:10" x14ac:dyDescent="0.3">
      <c r="A4" s="7">
        <v>3</v>
      </c>
      <c r="B4" s="31">
        <v>2.4</v>
      </c>
      <c r="C4" s="82">
        <v>2.8</v>
      </c>
      <c r="D4" s="82">
        <f t="shared" si="1"/>
        <v>2.8340000000000005</v>
      </c>
      <c r="E4" s="83">
        <f t="shared" si="2"/>
        <v>-3.4000000000000696E-2</v>
      </c>
      <c r="F4" s="6">
        <f t="shared" ref="F4:F26" si="6">E4-E3</f>
        <v>-1.1000000000000121E-2</v>
      </c>
      <c r="G4" s="82">
        <f t="shared" si="0"/>
        <v>1.1560000000000474E-3</v>
      </c>
      <c r="H4" s="82">
        <f t="shared" si="3"/>
        <v>1.2100000000000266E-4</v>
      </c>
      <c r="I4" s="6">
        <f t="shared" si="4"/>
        <v>3.6704999999999997</v>
      </c>
      <c r="J4" s="6">
        <f t="shared" si="5"/>
        <v>3.6084999999999998</v>
      </c>
    </row>
    <row r="5" spans="1:10" x14ac:dyDescent="0.3">
      <c r="A5" s="7">
        <v>4</v>
      </c>
      <c r="B5" s="31">
        <v>2.9</v>
      </c>
      <c r="C5" s="82">
        <v>2.8</v>
      </c>
      <c r="D5" s="82">
        <f t="shared" si="1"/>
        <v>2.4390000000000005</v>
      </c>
      <c r="E5" s="82">
        <f t="shared" si="2"/>
        <v>0.36099999999999932</v>
      </c>
      <c r="F5" s="6">
        <f t="shared" si="6"/>
        <v>0.39500000000000002</v>
      </c>
      <c r="G5" s="82">
        <f t="shared" si="0"/>
        <v>0.13032099999999952</v>
      </c>
      <c r="H5" s="82">
        <f t="shared" si="3"/>
        <v>0.15602500000000002</v>
      </c>
      <c r="I5" s="6">
        <f t="shared" si="4"/>
        <v>3.8239999999999998</v>
      </c>
      <c r="J5" s="6">
        <f t="shared" si="5"/>
        <v>3.8779999999999997</v>
      </c>
    </row>
    <row r="6" spans="1:10" x14ac:dyDescent="0.3">
      <c r="A6" s="7">
        <v>5</v>
      </c>
      <c r="B6" s="31">
        <v>2.5</v>
      </c>
      <c r="C6" s="82">
        <v>2.9</v>
      </c>
      <c r="D6" s="82">
        <f t="shared" si="1"/>
        <v>2.7550000000000003</v>
      </c>
      <c r="E6" s="82">
        <f t="shared" si="2"/>
        <v>0.14499999999999957</v>
      </c>
      <c r="F6" s="6">
        <f t="shared" si="6"/>
        <v>-0.21599999999999975</v>
      </c>
      <c r="G6" s="82">
        <f t="shared" si="0"/>
        <v>2.1024999999999877E-2</v>
      </c>
      <c r="H6" s="82">
        <f t="shared" si="3"/>
        <v>4.6655999999999892E-2</v>
      </c>
      <c r="I6" s="6">
        <f t="shared" si="4"/>
        <v>3.6165000000000003</v>
      </c>
      <c r="J6" s="6">
        <f t="shared" si="5"/>
        <v>3.9779999999999998</v>
      </c>
    </row>
    <row r="7" spans="1:10" x14ac:dyDescent="0.3">
      <c r="A7" s="7">
        <v>6</v>
      </c>
      <c r="B7" s="31">
        <v>3.1</v>
      </c>
      <c r="C7" s="82">
        <v>2.8</v>
      </c>
      <c r="D7" s="82">
        <f t="shared" si="1"/>
        <v>2.2810000000000001</v>
      </c>
      <c r="E7" s="82">
        <f t="shared" si="2"/>
        <v>0.51899999999999968</v>
      </c>
      <c r="F7" s="6">
        <f t="shared" si="6"/>
        <v>0.37400000000000011</v>
      </c>
      <c r="G7" s="82">
        <f t="shared" si="0"/>
        <v>0.26936099999999968</v>
      </c>
      <c r="H7" s="82">
        <f t="shared" si="3"/>
        <v>0.13987600000000008</v>
      </c>
      <c r="I7" s="6">
        <f t="shared" si="4"/>
        <v>4.0625</v>
      </c>
      <c r="J7" s="6">
        <f t="shared" si="5"/>
        <v>3.9165000000000001</v>
      </c>
    </row>
    <row r="8" spans="1:10" x14ac:dyDescent="0.3">
      <c r="A8" s="7">
        <v>7</v>
      </c>
      <c r="B8" s="31">
        <v>3.3</v>
      </c>
      <c r="C8" s="82">
        <v>2.1</v>
      </c>
      <c r="D8" s="82">
        <f t="shared" si="1"/>
        <v>2.1230000000000007</v>
      </c>
      <c r="E8" s="83">
        <f t="shared" si="2"/>
        <v>-2.3000000000000576E-2</v>
      </c>
      <c r="F8" s="6">
        <f t="shared" si="6"/>
        <v>-0.54200000000000026</v>
      </c>
      <c r="G8" s="82">
        <f t="shared" si="0"/>
        <v>5.2900000000002652E-4</v>
      </c>
      <c r="H8" s="82">
        <f t="shared" si="3"/>
        <v>0.2937640000000003</v>
      </c>
      <c r="I8" s="6">
        <f t="shared" si="4"/>
        <v>4.4935</v>
      </c>
      <c r="J8" s="6">
        <f t="shared" si="5"/>
        <v>3.1779999999999999</v>
      </c>
    </row>
    <row r="9" spans="1:10" x14ac:dyDescent="0.3">
      <c r="A9" s="7">
        <v>8</v>
      </c>
      <c r="B9" s="31">
        <v>2.2999999999999998</v>
      </c>
      <c r="C9" s="82">
        <v>3.6</v>
      </c>
      <c r="D9" s="82">
        <f t="shared" si="1"/>
        <v>2.9130000000000003</v>
      </c>
      <c r="E9" s="82">
        <f t="shared" si="2"/>
        <v>0.68699999999999983</v>
      </c>
      <c r="F9" s="6">
        <f t="shared" si="6"/>
        <v>0.71000000000000041</v>
      </c>
      <c r="G9" s="82">
        <f t="shared" si="0"/>
        <v>0.47196899999999975</v>
      </c>
      <c r="H9" s="82">
        <f t="shared" si="3"/>
        <v>0.50410000000000055</v>
      </c>
      <c r="I9" s="6">
        <f t="shared" si="4"/>
        <v>3.5705</v>
      </c>
      <c r="J9" s="6">
        <f t="shared" si="5"/>
        <v>4.4085000000000001</v>
      </c>
    </row>
    <row r="10" spans="1:10" x14ac:dyDescent="0.3">
      <c r="A10" s="7">
        <v>9</v>
      </c>
      <c r="B10" s="31">
        <v>2.5</v>
      </c>
      <c r="C10" s="82">
        <v>1.9</v>
      </c>
      <c r="D10" s="82">
        <f t="shared" si="1"/>
        <v>2.7550000000000003</v>
      </c>
      <c r="E10" s="83">
        <f t="shared" si="2"/>
        <v>-0.85500000000000043</v>
      </c>
      <c r="F10" s="6">
        <f t="shared" si="6"/>
        <v>-1.5420000000000003</v>
      </c>
      <c r="G10" s="82">
        <f t="shared" si="0"/>
        <v>0.7310250000000007</v>
      </c>
      <c r="H10" s="82">
        <f t="shared" si="3"/>
        <v>2.3777640000000009</v>
      </c>
      <c r="I10" s="6">
        <f t="shared" si="4"/>
        <v>3.3855</v>
      </c>
      <c r="J10" s="6">
        <f t="shared" si="5"/>
        <v>3.286</v>
      </c>
    </row>
    <row r="11" spans="1:10" x14ac:dyDescent="0.3">
      <c r="A11" s="7">
        <v>10</v>
      </c>
      <c r="B11" s="31">
        <v>2.2999999999999998</v>
      </c>
      <c r="C11" s="82">
        <v>2.9</v>
      </c>
      <c r="D11" s="82">
        <f t="shared" si="1"/>
        <v>2.9130000000000003</v>
      </c>
      <c r="E11" s="82">
        <f t="shared" si="2"/>
        <v>-1.3000000000000345E-2</v>
      </c>
      <c r="F11" s="6">
        <f t="shared" si="6"/>
        <v>0.84200000000000008</v>
      </c>
      <c r="G11" s="82">
        <f t="shared" si="0"/>
        <v>1.6900000000000896E-4</v>
      </c>
      <c r="H11" s="82">
        <f t="shared" si="3"/>
        <v>0.70896400000000015</v>
      </c>
      <c r="I11" s="6">
        <f t="shared" si="4"/>
        <v>3.2624999999999997</v>
      </c>
      <c r="J11" s="6">
        <f t="shared" si="5"/>
        <v>3.6315</v>
      </c>
    </row>
    <row r="12" spans="1:10" x14ac:dyDescent="0.3">
      <c r="A12" s="7">
        <v>11</v>
      </c>
      <c r="B12" s="31">
        <v>2.9</v>
      </c>
      <c r="C12" s="82">
        <v>2.1</v>
      </c>
      <c r="D12" s="82">
        <f t="shared" si="1"/>
        <v>2.4390000000000005</v>
      </c>
      <c r="E12" s="83">
        <f t="shared" si="2"/>
        <v>-0.33900000000000041</v>
      </c>
      <c r="F12" s="6">
        <f t="shared" si="6"/>
        <v>-0.32600000000000007</v>
      </c>
      <c r="G12" s="82">
        <f t="shared" si="0"/>
        <v>0.11492100000000027</v>
      </c>
      <c r="H12" s="82">
        <f t="shared" si="3"/>
        <v>0.10627600000000004</v>
      </c>
      <c r="I12" s="6">
        <f t="shared" si="4"/>
        <v>3.7854999999999999</v>
      </c>
      <c r="J12" s="6">
        <f t="shared" si="5"/>
        <v>3.2164999999999999</v>
      </c>
    </row>
    <row r="13" spans="1:10" x14ac:dyDescent="0.3">
      <c r="A13" s="7">
        <v>12</v>
      </c>
      <c r="B13" s="31">
        <v>2.5</v>
      </c>
      <c r="C13" s="82">
        <v>3.2</v>
      </c>
      <c r="D13" s="82">
        <f t="shared" si="1"/>
        <v>2.7550000000000003</v>
      </c>
      <c r="E13" s="82">
        <f t="shared" si="2"/>
        <v>0.44499999999999984</v>
      </c>
      <c r="F13" s="6">
        <f t="shared" si="6"/>
        <v>0.78400000000000025</v>
      </c>
      <c r="G13" s="82">
        <f t="shared" si="0"/>
        <v>0.19802499999999987</v>
      </c>
      <c r="H13" s="82">
        <f t="shared" si="3"/>
        <v>0.61465600000000042</v>
      </c>
      <c r="I13" s="6">
        <f t="shared" si="4"/>
        <v>3.6165000000000003</v>
      </c>
      <c r="J13" s="6">
        <f t="shared" si="5"/>
        <v>4.0085000000000006</v>
      </c>
    </row>
    <row r="14" spans="1:10" x14ac:dyDescent="0.3">
      <c r="A14" s="7">
        <v>13</v>
      </c>
      <c r="B14" s="31">
        <v>2.9</v>
      </c>
      <c r="C14" s="82">
        <v>2.1</v>
      </c>
      <c r="D14" s="82">
        <f t="shared" si="1"/>
        <v>2.4390000000000005</v>
      </c>
      <c r="E14" s="83">
        <f t="shared" si="2"/>
        <v>-0.33900000000000041</v>
      </c>
      <c r="F14" s="6">
        <f t="shared" si="6"/>
        <v>-0.78400000000000025</v>
      </c>
      <c r="G14" s="82">
        <f t="shared" si="0"/>
        <v>0.11492100000000027</v>
      </c>
      <c r="H14" s="82">
        <f t="shared" si="3"/>
        <v>0.61465600000000042</v>
      </c>
      <c r="I14" s="6">
        <f t="shared" si="4"/>
        <v>3.8624999999999998</v>
      </c>
      <c r="J14" s="6">
        <f t="shared" si="5"/>
        <v>3.3320000000000003</v>
      </c>
    </row>
    <row r="15" spans="1:10" x14ac:dyDescent="0.3">
      <c r="A15" s="7">
        <v>14</v>
      </c>
      <c r="B15" s="31">
        <v>2.8</v>
      </c>
      <c r="C15" s="82">
        <v>2.8</v>
      </c>
      <c r="D15" s="82">
        <f t="shared" si="1"/>
        <v>2.5180000000000007</v>
      </c>
      <c r="E15" s="82">
        <f t="shared" si="2"/>
        <v>0.28199999999999914</v>
      </c>
      <c r="F15" s="6">
        <f t="shared" si="6"/>
        <v>0.62099999999999955</v>
      </c>
      <c r="G15" s="82">
        <f t="shared" si="0"/>
        <v>7.9523999999999512E-2</v>
      </c>
      <c r="H15" s="82">
        <f t="shared" si="3"/>
        <v>0.38564099999999946</v>
      </c>
      <c r="I15" s="6">
        <f t="shared" si="4"/>
        <v>3.9165000000000001</v>
      </c>
      <c r="J15" s="6">
        <f t="shared" si="5"/>
        <v>3.6084999999999998</v>
      </c>
    </row>
    <row r="16" spans="1:10" x14ac:dyDescent="0.3">
      <c r="A16" s="7">
        <v>15</v>
      </c>
      <c r="B16" s="31">
        <v>2.2999999999999998</v>
      </c>
      <c r="C16" s="82">
        <v>2.1</v>
      </c>
      <c r="D16" s="82">
        <f t="shared" si="1"/>
        <v>2.9130000000000003</v>
      </c>
      <c r="E16" s="83">
        <f t="shared" si="2"/>
        <v>-0.81300000000000017</v>
      </c>
      <c r="F16" s="6">
        <f t="shared" si="6"/>
        <v>-1.0949999999999993</v>
      </c>
      <c r="G16" s="82">
        <f t="shared" si="0"/>
        <v>0.66096900000000025</v>
      </c>
      <c r="H16" s="82">
        <f t="shared" si="3"/>
        <v>1.1990249999999985</v>
      </c>
      <c r="I16" s="6">
        <f t="shared" si="4"/>
        <v>3.3779999999999997</v>
      </c>
      <c r="J16" s="6">
        <f t="shared" si="5"/>
        <v>3.1779999999999999</v>
      </c>
    </row>
    <row r="17" spans="1:20" x14ac:dyDescent="0.3">
      <c r="A17" s="7">
        <v>16</v>
      </c>
      <c r="B17" s="31">
        <v>3</v>
      </c>
      <c r="C17" s="82">
        <v>2.5</v>
      </c>
      <c r="D17" s="82">
        <f t="shared" si="1"/>
        <v>2.3600000000000003</v>
      </c>
      <c r="E17" s="82">
        <f t="shared" si="2"/>
        <v>0.13999999999999968</v>
      </c>
      <c r="F17" s="6">
        <f t="shared" si="6"/>
        <v>0.95299999999999985</v>
      </c>
      <c r="G17" s="82">
        <f t="shared" si="0"/>
        <v>1.9599999999999909E-2</v>
      </c>
      <c r="H17" s="82">
        <f t="shared" si="3"/>
        <v>0.90820899999999971</v>
      </c>
      <c r="I17" s="6">
        <f t="shared" si="4"/>
        <v>3.8855</v>
      </c>
      <c r="J17" s="6">
        <f t="shared" si="5"/>
        <v>3.3085</v>
      </c>
    </row>
    <row r="18" spans="1:20" x14ac:dyDescent="0.3">
      <c r="A18" s="7">
        <v>17</v>
      </c>
      <c r="B18" s="31">
        <v>2.8</v>
      </c>
      <c r="C18" s="82">
        <v>2.5</v>
      </c>
      <c r="D18" s="82">
        <f t="shared" si="1"/>
        <v>2.5180000000000007</v>
      </c>
      <c r="E18" s="83">
        <f t="shared" si="2"/>
        <v>-1.8000000000000682E-2</v>
      </c>
      <c r="F18" s="6">
        <f t="shared" si="6"/>
        <v>-0.15800000000000036</v>
      </c>
      <c r="G18" s="82">
        <f t="shared" si="0"/>
        <v>3.2400000000002457E-4</v>
      </c>
      <c r="H18" s="82">
        <f t="shared" si="3"/>
        <v>2.4964000000000115E-2</v>
      </c>
      <c r="I18" s="6">
        <f t="shared" si="4"/>
        <v>3.9550000000000001</v>
      </c>
      <c r="J18" s="6">
        <f t="shared" si="5"/>
        <v>3.4624999999999999</v>
      </c>
    </row>
    <row r="19" spans="1:20" x14ac:dyDescent="0.3">
      <c r="A19" s="7">
        <v>18</v>
      </c>
      <c r="B19" s="31">
        <v>2.2999999999999998</v>
      </c>
      <c r="C19" s="82">
        <v>3.4</v>
      </c>
      <c r="D19" s="82">
        <f t="shared" si="1"/>
        <v>2.9130000000000003</v>
      </c>
      <c r="E19" s="82">
        <f t="shared" si="2"/>
        <v>0.48699999999999966</v>
      </c>
      <c r="F19" s="6">
        <f t="shared" si="6"/>
        <v>0.50500000000000034</v>
      </c>
      <c r="G19" s="82">
        <f t="shared" si="0"/>
        <v>0.23716899999999966</v>
      </c>
      <c r="H19" s="82">
        <f t="shared" si="3"/>
        <v>0.25502500000000033</v>
      </c>
      <c r="I19" s="6">
        <f t="shared" si="4"/>
        <v>3.3779999999999997</v>
      </c>
      <c r="J19" s="6">
        <f t="shared" si="5"/>
        <v>4.3624999999999998</v>
      </c>
    </row>
    <row r="20" spans="1:20" x14ac:dyDescent="0.3">
      <c r="A20" s="7">
        <v>19</v>
      </c>
      <c r="B20" s="31">
        <v>3.3</v>
      </c>
      <c r="C20" s="82">
        <v>1.9</v>
      </c>
      <c r="D20" s="82">
        <f t="shared" si="1"/>
        <v>2.1230000000000007</v>
      </c>
      <c r="E20" s="83">
        <f t="shared" si="2"/>
        <v>-0.22300000000000075</v>
      </c>
      <c r="F20" s="6">
        <f t="shared" si="6"/>
        <v>-0.71000000000000041</v>
      </c>
      <c r="G20" s="82">
        <f t="shared" si="0"/>
        <v>4.9729000000000335E-2</v>
      </c>
      <c r="H20" s="82">
        <f t="shared" si="3"/>
        <v>0.50410000000000055</v>
      </c>
      <c r="I20" s="6">
        <f t="shared" si="4"/>
        <v>4.1854999999999993</v>
      </c>
      <c r="J20" s="6">
        <f t="shared" si="5"/>
        <v>3.2089999999999996</v>
      </c>
      <c r="L20" s="124" t="s">
        <v>213</v>
      </c>
      <c r="M20" s="124"/>
      <c r="N20" s="124"/>
      <c r="O20" s="124"/>
      <c r="P20" s="124"/>
      <c r="Q20" s="124"/>
      <c r="R20" s="124"/>
      <c r="S20" s="124"/>
      <c r="T20" s="124"/>
    </row>
    <row r="21" spans="1:20" x14ac:dyDescent="0.3">
      <c r="A21" s="7">
        <v>20</v>
      </c>
      <c r="B21" s="31">
        <v>2.8</v>
      </c>
      <c r="C21" s="82">
        <v>2.6</v>
      </c>
      <c r="D21" s="82">
        <f t="shared" si="1"/>
        <v>2.5180000000000007</v>
      </c>
      <c r="E21" s="82">
        <f t="shared" si="2"/>
        <v>8.1999999999999407E-2</v>
      </c>
      <c r="F21" s="6">
        <f t="shared" si="6"/>
        <v>0.30500000000000016</v>
      </c>
      <c r="G21" s="82">
        <f t="shared" si="0"/>
        <v>6.7239999999999028E-3</v>
      </c>
      <c r="H21" s="82">
        <f t="shared" si="3"/>
        <v>9.3025000000000094E-2</v>
      </c>
      <c r="I21" s="6">
        <f t="shared" si="4"/>
        <v>4.0705</v>
      </c>
      <c r="J21" s="6">
        <f t="shared" si="5"/>
        <v>3.3315000000000001</v>
      </c>
      <c r="L21" s="84"/>
      <c r="M21" s="84"/>
      <c r="N21" s="84"/>
      <c r="O21" s="84"/>
      <c r="P21" s="84"/>
      <c r="Q21" s="84"/>
      <c r="R21" s="84"/>
      <c r="S21" s="84"/>
      <c r="T21" s="84"/>
    </row>
    <row r="22" spans="1:20" x14ac:dyDescent="0.3">
      <c r="A22" s="7">
        <v>21</v>
      </c>
      <c r="B22" s="31">
        <v>3.1</v>
      </c>
      <c r="C22" s="82">
        <v>2.4</v>
      </c>
      <c r="D22" s="82">
        <f t="shared" si="1"/>
        <v>2.2810000000000001</v>
      </c>
      <c r="E22" s="82">
        <f t="shared" si="2"/>
        <v>0.11899999999999977</v>
      </c>
      <c r="F22" s="6">
        <f t="shared" si="6"/>
        <v>3.7000000000000366E-2</v>
      </c>
      <c r="G22" s="82">
        <f t="shared" si="0"/>
        <v>1.4160999999999946E-2</v>
      </c>
      <c r="H22" s="82">
        <f t="shared" si="3"/>
        <v>1.3690000000000271E-3</v>
      </c>
      <c r="I22" s="6">
        <f t="shared" si="4"/>
        <v>4.1779999999999999</v>
      </c>
      <c r="J22" s="6">
        <f t="shared" si="5"/>
        <v>3.4009999999999998</v>
      </c>
      <c r="L22" s="84" t="s">
        <v>24</v>
      </c>
      <c r="M22" s="84"/>
      <c r="N22" s="84"/>
      <c r="O22" s="84"/>
      <c r="P22" s="84"/>
      <c r="Q22" s="84"/>
      <c r="R22" s="84"/>
      <c r="S22" s="84"/>
      <c r="T22" s="84"/>
    </row>
    <row r="23" spans="1:20" ht="19.5" thickBot="1" x14ac:dyDescent="0.35">
      <c r="A23" s="7">
        <v>22</v>
      </c>
      <c r="B23" s="31">
        <v>3.2</v>
      </c>
      <c r="C23" s="82">
        <v>2.1</v>
      </c>
      <c r="D23" s="82">
        <f t="shared" si="1"/>
        <v>2.202</v>
      </c>
      <c r="E23" s="83">
        <f t="shared" si="2"/>
        <v>-0.10199999999999987</v>
      </c>
      <c r="F23" s="6">
        <f t="shared" si="6"/>
        <v>-0.22099999999999964</v>
      </c>
      <c r="G23" s="82">
        <f t="shared" si="0"/>
        <v>1.0403999999999974E-2</v>
      </c>
      <c r="H23" s="82">
        <f t="shared" si="3"/>
        <v>4.8840999999999843E-2</v>
      </c>
      <c r="I23" s="6">
        <f t="shared" si="4"/>
        <v>4.3935000000000004</v>
      </c>
      <c r="J23" s="6">
        <f t="shared" si="5"/>
        <v>3.024</v>
      </c>
      <c r="L23" s="84"/>
      <c r="M23" s="84"/>
      <c r="N23" s="84"/>
      <c r="O23" s="84"/>
      <c r="P23" s="84"/>
      <c r="Q23" s="84"/>
      <c r="R23" s="84"/>
      <c r="S23" s="84"/>
      <c r="T23" s="84"/>
    </row>
    <row r="24" spans="1:20" x14ac:dyDescent="0.3">
      <c r="A24" s="7">
        <v>23</v>
      </c>
      <c r="B24" s="31">
        <v>3</v>
      </c>
      <c r="C24" s="82">
        <v>2.2999999999999998</v>
      </c>
      <c r="D24" s="82">
        <f t="shared" si="1"/>
        <v>2.3600000000000003</v>
      </c>
      <c r="E24" s="83">
        <f t="shared" si="2"/>
        <v>-6.0000000000000497E-2</v>
      </c>
      <c r="F24" s="6">
        <f t="shared" si="6"/>
        <v>4.1999999999999371E-2</v>
      </c>
      <c r="G24" s="82">
        <f t="shared" si="0"/>
        <v>3.6000000000000597E-3</v>
      </c>
      <c r="H24" s="82">
        <f t="shared" si="3"/>
        <v>1.7639999999999473E-3</v>
      </c>
      <c r="I24" s="6">
        <f t="shared" si="4"/>
        <v>4.2320000000000002</v>
      </c>
      <c r="J24" s="6">
        <f t="shared" si="5"/>
        <v>3.1084999999999998</v>
      </c>
      <c r="L24" s="85" t="s">
        <v>25</v>
      </c>
      <c r="M24" s="85"/>
      <c r="N24" s="84"/>
      <c r="O24" s="84"/>
      <c r="P24" s="84"/>
      <c r="Q24" s="84"/>
      <c r="R24" s="84"/>
      <c r="S24" s="84"/>
      <c r="T24" s="84"/>
    </row>
    <row r="25" spans="1:20" x14ac:dyDescent="0.3">
      <c r="A25" s="7">
        <v>24</v>
      </c>
      <c r="B25" s="31">
        <v>2.2999999999999998</v>
      </c>
      <c r="C25" s="82">
        <v>3.1</v>
      </c>
      <c r="D25" s="82">
        <f t="shared" si="1"/>
        <v>2.9130000000000003</v>
      </c>
      <c r="E25" s="82">
        <f t="shared" si="2"/>
        <v>0.18699999999999983</v>
      </c>
      <c r="F25" s="6">
        <f t="shared" si="6"/>
        <v>0.24700000000000033</v>
      </c>
      <c r="G25" s="82">
        <f t="shared" si="0"/>
        <v>3.4968999999999938E-2</v>
      </c>
      <c r="H25" s="82">
        <f t="shared" si="3"/>
        <v>6.100900000000016E-2</v>
      </c>
      <c r="I25" s="6">
        <f t="shared" si="4"/>
        <v>3.4550000000000001</v>
      </c>
      <c r="J25" s="6">
        <f t="shared" si="5"/>
        <v>3.9855</v>
      </c>
      <c r="L25" s="84" t="s">
        <v>26</v>
      </c>
      <c r="M25" s="84">
        <v>2.0438907378151721E-2</v>
      </c>
      <c r="N25" s="84"/>
      <c r="O25" s="84"/>
      <c r="P25" s="84"/>
      <c r="Q25" s="84"/>
      <c r="R25" s="84"/>
      <c r="S25" s="84"/>
      <c r="T25" s="84"/>
    </row>
    <row r="26" spans="1:20" x14ac:dyDescent="0.3">
      <c r="A26" s="7">
        <v>25</v>
      </c>
      <c r="B26" s="31">
        <v>2.2999999999999998</v>
      </c>
      <c r="C26" s="82">
        <v>3</v>
      </c>
      <c r="D26" s="82">
        <f t="shared" si="1"/>
        <v>2.9130000000000003</v>
      </c>
      <c r="E26" s="82">
        <f t="shared" si="2"/>
        <v>8.6999999999999744E-2</v>
      </c>
      <c r="F26" s="6">
        <f t="shared" si="6"/>
        <v>-0.10000000000000009</v>
      </c>
      <c r="G26" s="82">
        <f t="shared" si="0"/>
        <v>7.5689999999999551E-3</v>
      </c>
      <c r="H26" s="82">
        <f t="shared" si="3"/>
        <v>1.0000000000000018E-2</v>
      </c>
      <c r="I26" s="6">
        <f t="shared" si="4"/>
        <v>3.1854999999999998</v>
      </c>
      <c r="J26" s="6">
        <f t="shared" si="5"/>
        <v>4.1935000000000002</v>
      </c>
      <c r="L26" s="84" t="s">
        <v>27</v>
      </c>
      <c r="M26" s="86">
        <v>4.1774893481266501E-4</v>
      </c>
      <c r="N26" s="84"/>
      <c r="O26" s="84"/>
      <c r="P26" s="84"/>
      <c r="Q26" s="84"/>
      <c r="R26" s="84"/>
      <c r="S26" s="84"/>
      <c r="T26" s="84"/>
    </row>
    <row r="27" spans="1:20" x14ac:dyDescent="0.3">
      <c r="A27" s="67" t="s">
        <v>145</v>
      </c>
      <c r="B27" s="67"/>
      <c r="C27" s="67"/>
      <c r="D27" s="67"/>
      <c r="E27" s="87"/>
      <c r="F27" s="87"/>
      <c r="G27" s="88">
        <f>SUM(G1:G26)</f>
        <v>3.349262</v>
      </c>
      <c r="H27" s="88">
        <f>SUM(H3:H26)</f>
        <v>9.2079300000000011</v>
      </c>
      <c r="I27" s="88">
        <f>SUM(I2:I26)</f>
        <v>93.67120811700525</v>
      </c>
      <c r="J27" s="88">
        <f>SUM(J2:J26)</f>
        <v>87.984791431527469</v>
      </c>
      <c r="L27" s="84" t="s">
        <v>28</v>
      </c>
      <c r="M27" s="84">
        <v>-4.3042348937586787E-2</v>
      </c>
      <c r="N27" s="84"/>
      <c r="O27" s="84"/>
      <c r="P27" s="84"/>
      <c r="Q27" s="84"/>
      <c r="R27" s="84"/>
      <c r="S27" s="84"/>
      <c r="T27" s="84"/>
    </row>
    <row r="28" spans="1:20" x14ac:dyDescent="0.3">
      <c r="L28" s="84" t="s">
        <v>29</v>
      </c>
      <c r="M28" s="84">
        <v>0.49497235731846639</v>
      </c>
      <c r="N28" s="84"/>
      <c r="O28" s="84"/>
      <c r="P28" s="84"/>
      <c r="Q28" s="84"/>
      <c r="R28" s="84"/>
      <c r="S28" s="84"/>
      <c r="T28" s="84"/>
    </row>
    <row r="29" spans="1:20" ht="19.5" thickBot="1" x14ac:dyDescent="0.35">
      <c r="A29" s="89" t="s">
        <v>210</v>
      </c>
      <c r="B29" s="26">
        <f>H27/G27</f>
        <v>2.7492414746890512</v>
      </c>
      <c r="D29" s="123" t="s">
        <v>211</v>
      </c>
      <c r="E29" s="123"/>
      <c r="F29" s="123"/>
      <c r="G29" s="123"/>
      <c r="H29" s="123"/>
      <c r="I29" s="123"/>
      <c r="L29" s="90" t="s">
        <v>30</v>
      </c>
      <c r="M29" s="90">
        <v>25</v>
      </c>
      <c r="N29" s="84"/>
      <c r="O29" s="84"/>
      <c r="P29" s="84"/>
      <c r="Q29" s="84"/>
      <c r="R29" s="84"/>
      <c r="S29" s="84"/>
      <c r="T29" s="84"/>
    </row>
    <row r="30" spans="1:20" x14ac:dyDescent="0.3">
      <c r="A30" s="89" t="s">
        <v>212</v>
      </c>
      <c r="B30" s="84">
        <f>1 - (B29/2)</f>
        <v>-0.37462073734452561</v>
      </c>
      <c r="L30" s="84"/>
      <c r="M30" s="84"/>
      <c r="N30" s="84"/>
      <c r="O30" s="84"/>
      <c r="P30" s="84"/>
      <c r="Q30" s="84"/>
      <c r="R30" s="84"/>
      <c r="S30" s="84"/>
      <c r="T30" s="84"/>
    </row>
    <row r="31" spans="1:20" ht="19.5" thickBot="1" x14ac:dyDescent="0.35">
      <c r="A31" s="89" t="s">
        <v>215</v>
      </c>
      <c r="B31" s="26">
        <f>M38/(1-(B30))</f>
        <v>2.6149779570917011</v>
      </c>
      <c r="L31" s="84" t="s">
        <v>31</v>
      </c>
      <c r="M31" s="84"/>
      <c r="N31" s="84"/>
      <c r="O31" s="84"/>
      <c r="P31" s="84"/>
      <c r="Q31" s="84"/>
      <c r="R31" s="84"/>
      <c r="S31" s="84"/>
      <c r="T31" s="84"/>
    </row>
    <row r="32" spans="1:20" x14ac:dyDescent="0.3">
      <c r="L32" s="91"/>
      <c r="M32" s="91" t="s">
        <v>36</v>
      </c>
      <c r="N32" s="91" t="s">
        <v>37</v>
      </c>
      <c r="O32" s="91" t="s">
        <v>38</v>
      </c>
      <c r="P32" s="91" t="s">
        <v>39</v>
      </c>
      <c r="Q32" s="91" t="s">
        <v>40</v>
      </c>
      <c r="R32" s="84"/>
      <c r="S32" s="84"/>
      <c r="T32" s="84"/>
    </row>
    <row r="33" spans="12:20" x14ac:dyDescent="0.3">
      <c r="L33" s="84" t="s">
        <v>32</v>
      </c>
      <c r="M33" s="84">
        <v>1</v>
      </c>
      <c r="N33" s="84">
        <v>2.3549763083465791E-3</v>
      </c>
      <c r="O33" s="84">
        <v>2.3549763083465791E-3</v>
      </c>
      <c r="P33" s="84">
        <v>9.6122410041319314E-3</v>
      </c>
      <c r="Q33" s="84">
        <v>0.92274833519595212</v>
      </c>
      <c r="R33" s="84"/>
      <c r="S33" s="84"/>
      <c r="T33" s="84"/>
    </row>
    <row r="34" spans="12:20" x14ac:dyDescent="0.3">
      <c r="L34" s="84" t="s">
        <v>33</v>
      </c>
      <c r="M34" s="84">
        <v>23</v>
      </c>
      <c r="N34" s="84">
        <v>5.634945593716191</v>
      </c>
      <c r="O34" s="84">
        <v>0.2449976345093996</v>
      </c>
      <c r="P34" s="84"/>
      <c r="Q34" s="84"/>
      <c r="R34" s="84"/>
      <c r="S34" s="84"/>
      <c r="T34" s="84"/>
    </row>
    <row r="35" spans="12:20" ht="19.5" thickBot="1" x14ac:dyDescent="0.35">
      <c r="L35" s="90" t="s">
        <v>34</v>
      </c>
      <c r="M35" s="90">
        <v>24</v>
      </c>
      <c r="N35" s="90">
        <v>5.6373005700245375</v>
      </c>
      <c r="O35" s="90"/>
      <c r="P35" s="90"/>
      <c r="Q35" s="90"/>
      <c r="R35" s="84"/>
      <c r="S35" s="84"/>
      <c r="T35" s="84"/>
    </row>
    <row r="36" spans="12:20" ht="19.5" thickBot="1" x14ac:dyDescent="0.35">
      <c r="L36" s="84"/>
      <c r="M36" s="84"/>
      <c r="N36" s="84"/>
      <c r="O36" s="84"/>
      <c r="P36" s="84"/>
      <c r="Q36" s="84"/>
      <c r="R36" s="84"/>
      <c r="S36" s="84"/>
      <c r="T36" s="84"/>
    </row>
    <row r="37" spans="12:20" x14ac:dyDescent="0.3">
      <c r="L37" s="91"/>
      <c r="M37" s="91" t="s">
        <v>41</v>
      </c>
      <c r="N37" s="91" t="s">
        <v>29</v>
      </c>
      <c r="O37" s="91" t="s">
        <v>42</v>
      </c>
      <c r="P37" s="91" t="s">
        <v>43</v>
      </c>
      <c r="Q37" s="91" t="s">
        <v>44</v>
      </c>
      <c r="R37" s="91" t="s">
        <v>45</v>
      </c>
      <c r="S37" s="91" t="s">
        <v>46</v>
      </c>
      <c r="T37" s="91" t="s">
        <v>47</v>
      </c>
    </row>
    <row r="38" spans="12:20" x14ac:dyDescent="0.3">
      <c r="L38" s="84" t="s">
        <v>217</v>
      </c>
      <c r="M38" s="92">
        <v>3.5946029275170757</v>
      </c>
      <c r="N38" s="84">
        <v>0.77349386725016456</v>
      </c>
      <c r="O38" s="84">
        <v>4.647228736662373</v>
      </c>
      <c r="P38" s="84">
        <v>1.1213326813322194E-4</v>
      </c>
      <c r="Q38" s="84">
        <v>1.9945089524175612</v>
      </c>
      <c r="R38" s="84">
        <v>5.1946969026165899</v>
      </c>
      <c r="S38" s="84">
        <v>1.9945089524175612</v>
      </c>
      <c r="T38" s="84">
        <v>5.1946969026165899</v>
      </c>
    </row>
    <row r="39" spans="12:20" ht="19.5" thickBot="1" x14ac:dyDescent="0.35">
      <c r="L39" s="90" t="s">
        <v>214</v>
      </c>
      <c r="M39" s="93">
        <v>-2.0073209198399108E-2</v>
      </c>
      <c r="N39" s="90">
        <v>0.20474084207398993</v>
      </c>
      <c r="O39" s="90">
        <v>-9.804203692365876E-2</v>
      </c>
      <c r="P39" s="90">
        <v>0.92274833519591959</v>
      </c>
      <c r="Q39" s="90">
        <v>-0.443611910318363</v>
      </c>
      <c r="R39" s="90">
        <v>0.40346549192156478</v>
      </c>
      <c r="S39" s="90">
        <v>-0.443611910318363</v>
      </c>
      <c r="T39" s="90">
        <v>0.40346549192156478</v>
      </c>
    </row>
  </sheetData>
  <mergeCells count="2">
    <mergeCell ref="D29:I29"/>
    <mergeCell ref="L20:T20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5B24-755A-4824-8BE6-980EB7FE8B50}">
  <dimension ref="A1:S143"/>
  <sheetViews>
    <sheetView topLeftCell="A116" zoomScale="73" workbookViewId="0">
      <selection activeCell="M132" sqref="M132"/>
    </sheetView>
  </sheetViews>
  <sheetFormatPr defaultColWidth="9.42578125" defaultRowHeight="18.75" x14ac:dyDescent="0.3"/>
  <cols>
    <col min="1" max="1" width="14.5703125" style="17" bestFit="1" customWidth="1"/>
    <col min="2" max="2" width="6.140625" style="17" bestFit="1" customWidth="1"/>
    <col min="3" max="5" width="9" style="17" bestFit="1" customWidth="1"/>
    <col min="6" max="9" width="7.5703125" style="17" bestFit="1" customWidth="1"/>
    <col min="10" max="10" width="12.7109375" style="17" bestFit="1" customWidth="1"/>
    <col min="11" max="11" width="33.5703125" style="86" bestFit="1" customWidth="1"/>
    <col min="12" max="12" width="21.28515625" style="86" bestFit="1" customWidth="1"/>
    <col min="13" max="13" width="29.42578125" style="86" bestFit="1" customWidth="1"/>
    <col min="14" max="14" width="19.28515625" style="86" bestFit="1" customWidth="1"/>
    <col min="15" max="15" width="16" style="86" bestFit="1" customWidth="1"/>
    <col min="16" max="16" width="19.28515625" style="86" bestFit="1" customWidth="1"/>
    <col min="17" max="17" width="17.5703125" style="86" bestFit="1" customWidth="1"/>
    <col min="18" max="18" width="20.28515625" style="86" bestFit="1" customWidth="1"/>
    <col min="19" max="19" width="19.7109375" style="86" bestFit="1" customWidth="1"/>
    <col min="20" max="16384" width="9.42578125" style="17"/>
  </cols>
  <sheetData>
    <row r="1" spans="1:19" x14ac:dyDescent="0.3">
      <c r="A1" s="7" t="s">
        <v>92</v>
      </c>
      <c r="B1" s="7" t="s">
        <v>17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K1" s="86" t="s">
        <v>24</v>
      </c>
    </row>
    <row r="2" spans="1:19" ht="19.5" thickBot="1" x14ac:dyDescent="0.35">
      <c r="A2" s="7" t="s">
        <v>109</v>
      </c>
      <c r="B2" s="60">
        <v>9.17</v>
      </c>
      <c r="C2" s="60">
        <v>20.46</v>
      </c>
      <c r="D2" s="60">
        <v>15.99</v>
      </c>
      <c r="E2" s="60">
        <v>2.2999999999999998</v>
      </c>
      <c r="F2" s="60">
        <v>76.2</v>
      </c>
      <c r="G2" s="60">
        <v>0.92500000000000004</v>
      </c>
      <c r="H2" s="60">
        <v>38</v>
      </c>
      <c r="I2" s="60">
        <v>2</v>
      </c>
    </row>
    <row r="3" spans="1:19" x14ac:dyDescent="0.3">
      <c r="A3" s="7" t="s">
        <v>122</v>
      </c>
      <c r="B3" s="60">
        <v>6.85</v>
      </c>
      <c r="C3" s="60">
        <v>17.920000000000002</v>
      </c>
      <c r="D3" s="60">
        <v>11.98</v>
      </c>
      <c r="E3" s="60">
        <v>3.3</v>
      </c>
      <c r="F3" s="60">
        <v>76.2</v>
      </c>
      <c r="G3" s="60">
        <v>0.91600000000000004</v>
      </c>
      <c r="H3" s="60">
        <v>44.3</v>
      </c>
      <c r="I3" s="60">
        <v>1</v>
      </c>
      <c r="K3" s="95" t="s">
        <v>25</v>
      </c>
      <c r="L3" s="95"/>
    </row>
    <row r="4" spans="1:19" x14ac:dyDescent="0.3">
      <c r="A4" s="7" t="s">
        <v>119</v>
      </c>
      <c r="B4" s="60">
        <v>4.3</v>
      </c>
      <c r="C4" s="60">
        <v>5.74</v>
      </c>
      <c r="D4" s="60">
        <v>2.15</v>
      </c>
      <c r="E4" s="60">
        <v>73.8</v>
      </c>
      <c r="F4" s="60">
        <v>66.3</v>
      </c>
      <c r="G4" s="60">
        <v>0.80400000000000005</v>
      </c>
      <c r="H4" s="60">
        <v>67.5</v>
      </c>
      <c r="I4" s="60">
        <v>16.7</v>
      </c>
      <c r="K4" s="86" t="s">
        <v>26</v>
      </c>
      <c r="L4" s="86">
        <v>0.94431542199617791</v>
      </c>
    </row>
    <row r="5" spans="1:19" x14ac:dyDescent="0.3">
      <c r="A5" s="7" t="s">
        <v>218</v>
      </c>
      <c r="B5" s="60">
        <v>8.64</v>
      </c>
      <c r="C5" s="60">
        <v>19.940000000000001</v>
      </c>
      <c r="D5" s="60">
        <v>16.71</v>
      </c>
      <c r="E5" s="60">
        <v>2</v>
      </c>
      <c r="F5" s="60">
        <v>76</v>
      </c>
      <c r="G5" s="60">
        <v>0.92100000000000004</v>
      </c>
      <c r="H5" s="60">
        <v>40.299999999999997</v>
      </c>
      <c r="I5" s="60">
        <v>1</v>
      </c>
      <c r="K5" s="86" t="s">
        <v>27</v>
      </c>
      <c r="L5" s="86">
        <v>0.89173161621981956</v>
      </c>
    </row>
    <row r="6" spans="1:19" x14ac:dyDescent="0.3">
      <c r="A6" s="7" t="s">
        <v>219</v>
      </c>
      <c r="B6" s="60">
        <v>8.3699999999999992</v>
      </c>
      <c r="C6" s="60">
        <v>18.07</v>
      </c>
      <c r="D6" s="60">
        <v>15.17</v>
      </c>
      <c r="E6" s="60">
        <v>2</v>
      </c>
      <c r="F6" s="60">
        <v>77.400000000000006</v>
      </c>
      <c r="G6" s="60">
        <v>0.93600000000000005</v>
      </c>
      <c r="H6" s="60">
        <v>36.9</v>
      </c>
      <c r="I6" s="60">
        <v>2</v>
      </c>
      <c r="K6" s="86" t="s">
        <v>28</v>
      </c>
      <c r="L6" s="86">
        <v>0.78346323243963922</v>
      </c>
    </row>
    <row r="7" spans="1:19" x14ac:dyDescent="0.3">
      <c r="A7" s="7" t="s">
        <v>118</v>
      </c>
      <c r="B7" s="60">
        <v>7.82</v>
      </c>
      <c r="C7" s="60">
        <v>14.29</v>
      </c>
      <c r="D7" s="60">
        <v>8.73</v>
      </c>
      <c r="E7" s="60">
        <v>4.7</v>
      </c>
      <c r="F7" s="60">
        <v>77.599999999999994</v>
      </c>
      <c r="G7" s="60">
        <v>0.93</v>
      </c>
      <c r="H7" s="60">
        <v>36.6</v>
      </c>
      <c r="I7" s="60">
        <v>5</v>
      </c>
      <c r="K7" s="86" t="s">
        <v>29</v>
      </c>
      <c r="L7" s="86">
        <v>1.2011267617911519</v>
      </c>
    </row>
    <row r="8" spans="1:19" ht="19.5" thickBot="1" x14ac:dyDescent="0.35">
      <c r="A8" s="7" t="s">
        <v>121</v>
      </c>
      <c r="B8" s="60">
        <v>6.8</v>
      </c>
      <c r="C8" s="60">
        <v>18.09</v>
      </c>
      <c r="D8" s="60">
        <v>11.57</v>
      </c>
      <c r="E8" s="60">
        <v>5.4</v>
      </c>
      <c r="F8" s="60">
        <v>77.5</v>
      </c>
      <c r="G8" s="60">
        <v>0.91200000000000003</v>
      </c>
      <c r="H8" s="60">
        <v>41</v>
      </c>
      <c r="I8" s="60">
        <v>3</v>
      </c>
      <c r="K8" s="96" t="s">
        <v>30</v>
      </c>
      <c r="L8" s="96">
        <v>15</v>
      </c>
    </row>
    <row r="9" spans="1:19" x14ac:dyDescent="0.3">
      <c r="A9" s="7" t="s">
        <v>120</v>
      </c>
      <c r="B9" s="60">
        <v>9.06</v>
      </c>
      <c r="C9" s="60">
        <v>22.32</v>
      </c>
      <c r="D9" s="60">
        <v>11.51</v>
      </c>
      <c r="E9" s="60">
        <v>2.4</v>
      </c>
      <c r="F9" s="60">
        <v>77.400000000000006</v>
      </c>
      <c r="G9" s="60">
        <v>0.95</v>
      </c>
      <c r="H9" s="60">
        <v>40.200000000000003</v>
      </c>
      <c r="I9" s="60">
        <v>2</v>
      </c>
    </row>
    <row r="10" spans="1:19" ht="19.5" thickBot="1" x14ac:dyDescent="0.35">
      <c r="A10" s="7" t="s">
        <v>220</v>
      </c>
      <c r="B10" s="60">
        <v>2.5099999999999998</v>
      </c>
      <c r="C10" s="60">
        <v>2.52</v>
      </c>
      <c r="D10" s="60">
        <v>0.22</v>
      </c>
      <c r="E10" s="60">
        <v>17.100000000000001</v>
      </c>
      <c r="F10" s="60">
        <v>68.5</v>
      </c>
      <c r="G10" s="60">
        <v>0.59399999999999997</v>
      </c>
      <c r="H10" s="60">
        <v>41.8</v>
      </c>
      <c r="I10" s="60">
        <v>26.7</v>
      </c>
      <c r="K10" s="86" t="s">
        <v>31</v>
      </c>
    </row>
    <row r="11" spans="1:19" x14ac:dyDescent="0.3">
      <c r="A11" s="7" t="s">
        <v>105</v>
      </c>
      <c r="B11" s="60">
        <v>9.2799999999999994</v>
      </c>
      <c r="C11" s="60">
        <v>21.61</v>
      </c>
      <c r="D11" s="60">
        <v>16.440000000000001</v>
      </c>
      <c r="E11" s="60">
        <v>2.5</v>
      </c>
      <c r="F11" s="60">
        <v>76.900000000000006</v>
      </c>
      <c r="G11" s="60">
        <v>0.93200000000000005</v>
      </c>
      <c r="H11" s="60">
        <v>36.700000000000003</v>
      </c>
      <c r="I11" s="60">
        <v>0</v>
      </c>
      <c r="K11" s="97"/>
      <c r="L11" s="97" t="s">
        <v>36</v>
      </c>
      <c r="M11" s="97" t="s">
        <v>37</v>
      </c>
      <c r="N11" s="97" t="s">
        <v>38</v>
      </c>
      <c r="O11" s="97" t="s">
        <v>39</v>
      </c>
      <c r="P11" s="97" t="s">
        <v>40</v>
      </c>
    </row>
    <row r="12" spans="1:19" x14ac:dyDescent="0.3">
      <c r="A12" s="7" t="s">
        <v>221</v>
      </c>
      <c r="B12" s="60">
        <v>0.82</v>
      </c>
      <c r="C12" s="60">
        <v>5.26</v>
      </c>
      <c r="D12" s="60">
        <v>1.03</v>
      </c>
      <c r="E12" s="60">
        <v>231</v>
      </c>
      <c r="F12" s="60">
        <v>67.599999999999994</v>
      </c>
      <c r="G12" s="60">
        <v>0.84899999999999998</v>
      </c>
      <c r="H12" s="60">
        <v>65.3</v>
      </c>
      <c r="I12" s="60">
        <v>2</v>
      </c>
      <c r="K12" s="86" t="s">
        <v>32</v>
      </c>
      <c r="L12" s="86">
        <v>7</v>
      </c>
      <c r="M12" s="86">
        <v>83.177954848097045</v>
      </c>
      <c r="N12" s="86">
        <v>11.882564978299579</v>
      </c>
      <c r="O12" s="86">
        <v>8.2363067137893253</v>
      </c>
      <c r="P12" s="86">
        <v>6.2476654553081726E-3</v>
      </c>
    </row>
    <row r="13" spans="1:19" x14ac:dyDescent="0.3">
      <c r="A13" s="7" t="s">
        <v>126</v>
      </c>
      <c r="B13" s="60">
        <v>7.89</v>
      </c>
      <c r="C13" s="60">
        <v>26.65</v>
      </c>
      <c r="D13" s="60">
        <v>18.79</v>
      </c>
      <c r="E13" s="60">
        <v>2.9</v>
      </c>
      <c r="F13" s="60">
        <v>76</v>
      </c>
      <c r="G13" s="60">
        <v>0.93700000000000006</v>
      </c>
      <c r="H13" s="60">
        <v>41.9</v>
      </c>
      <c r="I13" s="60">
        <v>0.5</v>
      </c>
      <c r="K13" s="86" t="s">
        <v>33</v>
      </c>
      <c r="L13" s="86">
        <v>7</v>
      </c>
      <c r="M13" s="86">
        <v>10.098938485236289</v>
      </c>
      <c r="N13" s="86">
        <v>1.4427054978908984</v>
      </c>
    </row>
    <row r="14" spans="1:19" ht="19.5" thickBot="1" x14ac:dyDescent="0.35">
      <c r="A14" s="7" t="s">
        <v>123</v>
      </c>
      <c r="B14" s="60">
        <v>8</v>
      </c>
      <c r="C14" s="60">
        <v>19.98</v>
      </c>
      <c r="D14" s="60">
        <v>15.74</v>
      </c>
      <c r="E14" s="60">
        <v>1.9</v>
      </c>
      <c r="F14" s="60">
        <v>76.900000000000006</v>
      </c>
      <c r="G14" s="60">
        <v>0.93</v>
      </c>
      <c r="H14" s="60">
        <v>41.9</v>
      </c>
      <c r="I14" s="60">
        <v>1</v>
      </c>
      <c r="K14" s="96" t="s">
        <v>34</v>
      </c>
      <c r="L14" s="96">
        <v>14</v>
      </c>
      <c r="M14" s="96">
        <v>93.276893333333334</v>
      </c>
      <c r="N14" s="96"/>
      <c r="O14" s="96"/>
      <c r="P14" s="96"/>
    </row>
    <row r="15" spans="1:19" ht="19.5" thickBot="1" x14ac:dyDescent="0.35">
      <c r="A15" s="7" t="s">
        <v>110</v>
      </c>
      <c r="B15" s="60">
        <v>9</v>
      </c>
      <c r="C15" s="60">
        <v>23.48</v>
      </c>
      <c r="D15" s="60">
        <v>25.2</v>
      </c>
      <c r="E15" s="60">
        <v>1.8</v>
      </c>
      <c r="F15" s="60">
        <v>78</v>
      </c>
      <c r="G15" s="60">
        <v>0.92500000000000004</v>
      </c>
      <c r="H15" s="60">
        <v>44.8</v>
      </c>
      <c r="I15" s="60">
        <v>0</v>
      </c>
    </row>
    <row r="16" spans="1:19" x14ac:dyDescent="0.3">
      <c r="A16" s="7" t="s">
        <v>125</v>
      </c>
      <c r="B16" s="60">
        <v>5.43</v>
      </c>
      <c r="C16" s="60">
        <v>21.62</v>
      </c>
      <c r="D16" s="60">
        <v>24.7</v>
      </c>
      <c r="E16" s="60">
        <v>0</v>
      </c>
      <c r="F16" s="60">
        <v>79.5</v>
      </c>
      <c r="G16" s="60">
        <v>0.93700000000000006</v>
      </c>
      <c r="H16" s="60">
        <v>37.5</v>
      </c>
      <c r="I16" s="60">
        <v>0</v>
      </c>
      <c r="K16" s="97"/>
      <c r="L16" s="97" t="s">
        <v>41</v>
      </c>
      <c r="M16" s="97" t="s">
        <v>29</v>
      </c>
      <c r="N16" s="97" t="s">
        <v>42</v>
      </c>
      <c r="O16" s="97" t="s">
        <v>43</v>
      </c>
      <c r="P16" s="97" t="s">
        <v>44</v>
      </c>
      <c r="Q16" s="97" t="s">
        <v>45</v>
      </c>
      <c r="R16" s="97" t="s">
        <v>46</v>
      </c>
      <c r="S16" s="97" t="s">
        <v>47</v>
      </c>
    </row>
    <row r="17" spans="1:19" x14ac:dyDescent="0.3">
      <c r="K17" s="86" t="s">
        <v>35</v>
      </c>
      <c r="L17" s="86">
        <v>34.664548240393813</v>
      </c>
      <c r="M17" s="86">
        <v>33.157636926137087</v>
      </c>
      <c r="N17" s="86">
        <v>1.0454468850604031</v>
      </c>
      <c r="O17" s="86">
        <v>0.33056841922163743</v>
      </c>
      <c r="P17" s="86">
        <v>-43.740804160658385</v>
      </c>
      <c r="Q17" s="86">
        <v>113.06990064144601</v>
      </c>
      <c r="R17" s="86">
        <v>-43.740804160658385</v>
      </c>
      <c r="S17" s="86">
        <v>113.06990064144601</v>
      </c>
    </row>
    <row r="18" spans="1:19" x14ac:dyDescent="0.3">
      <c r="K18" s="86" t="s">
        <v>48</v>
      </c>
      <c r="L18" s="86">
        <v>6.8481850157707747E-2</v>
      </c>
      <c r="M18" s="86">
        <v>0.17915084028022193</v>
      </c>
      <c r="N18" s="86">
        <v>0.38225804607218505</v>
      </c>
      <c r="O18" s="86">
        <v>0.71361080459935389</v>
      </c>
      <c r="P18" s="86">
        <v>-0.35514257146213057</v>
      </c>
      <c r="Q18" s="86">
        <v>0.49210627177754607</v>
      </c>
      <c r="R18" s="86">
        <v>-0.35514257146213057</v>
      </c>
      <c r="S18" s="86">
        <v>0.49210627177754607</v>
      </c>
    </row>
    <row r="19" spans="1:19" x14ac:dyDescent="0.3">
      <c r="K19" s="86" t="s">
        <v>50</v>
      </c>
      <c r="L19" s="86">
        <v>-1.525936661964661E-2</v>
      </c>
      <c r="M19" s="86">
        <v>0.11709151740605822</v>
      </c>
      <c r="N19" s="98">
        <v>-0.13032000060883234</v>
      </c>
      <c r="O19" s="98">
        <v>0.89997925538471912</v>
      </c>
      <c r="P19" s="86">
        <v>-0.29213680833381056</v>
      </c>
      <c r="Q19" s="86">
        <v>0.26161807509451734</v>
      </c>
      <c r="R19" s="86">
        <v>-0.29213680833381056</v>
      </c>
      <c r="S19" s="86">
        <v>0.26161807509451734</v>
      </c>
    </row>
    <row r="20" spans="1:19" x14ac:dyDescent="0.3">
      <c r="K20" s="86" t="s">
        <v>222</v>
      </c>
      <c r="L20" s="86">
        <v>-3.187140037608107E-2</v>
      </c>
      <c r="M20" s="86">
        <v>2.0760898232862431E-2</v>
      </c>
      <c r="N20" s="86">
        <v>-1.535164809277463</v>
      </c>
      <c r="O20" s="86">
        <v>0.16861873548732975</v>
      </c>
      <c r="P20" s="86">
        <v>-8.0963123822357375E-2</v>
      </c>
      <c r="Q20" s="86">
        <v>1.7220323070195227E-2</v>
      </c>
      <c r="R20" s="86">
        <v>-8.0963123822357375E-2</v>
      </c>
      <c r="S20" s="86">
        <v>1.7220323070195227E-2</v>
      </c>
    </row>
    <row r="21" spans="1:19" x14ac:dyDescent="0.3">
      <c r="K21" s="86" t="s">
        <v>223</v>
      </c>
      <c r="L21" s="86">
        <v>-0.56691800464087128</v>
      </c>
      <c r="M21" s="86">
        <v>0.40858109429387929</v>
      </c>
      <c r="N21" s="86">
        <v>-1.387528724550102</v>
      </c>
      <c r="O21" s="86">
        <v>0.20784628825468524</v>
      </c>
      <c r="P21" s="86">
        <v>-1.5330587689504966</v>
      </c>
      <c r="Q21" s="86">
        <v>0.39922275966875409</v>
      </c>
      <c r="R21" s="86">
        <v>-1.5330587689504966</v>
      </c>
      <c r="S21" s="86">
        <v>0.39922275966875409</v>
      </c>
    </row>
    <row r="22" spans="1:19" x14ac:dyDescent="0.3">
      <c r="K22" s="86" t="s">
        <v>224</v>
      </c>
      <c r="L22" s="86">
        <v>22.030649285486838</v>
      </c>
      <c r="M22" s="86">
        <v>16.122506066848192</v>
      </c>
      <c r="N22" s="86">
        <v>1.3664531552440988</v>
      </c>
      <c r="O22" s="86">
        <v>0.21406730425893353</v>
      </c>
      <c r="P22" s="86">
        <v>-16.093019556634204</v>
      </c>
      <c r="Q22" s="86">
        <v>60.15431812760788</v>
      </c>
      <c r="R22" s="86">
        <v>-16.093019556634204</v>
      </c>
      <c r="S22" s="86">
        <v>60.15431812760788</v>
      </c>
    </row>
    <row r="23" spans="1:19" x14ac:dyDescent="0.3">
      <c r="K23" s="86" t="s">
        <v>225</v>
      </c>
      <c r="L23" s="86">
        <v>-0.10935506544537527</v>
      </c>
      <c r="M23" s="86">
        <v>0.10934043008919844</v>
      </c>
      <c r="N23" s="86">
        <v>-1.0001338512768323</v>
      </c>
      <c r="O23" s="86">
        <v>0.35055625311093569</v>
      </c>
      <c r="P23" s="86">
        <v>-0.36790409811387936</v>
      </c>
      <c r="Q23" s="86">
        <v>0.14919396722312883</v>
      </c>
      <c r="R23" s="86">
        <v>-0.36790409811387936</v>
      </c>
      <c r="S23" s="86">
        <v>0.14919396722312883</v>
      </c>
    </row>
    <row r="24" spans="1:19" ht="19.5" thickBot="1" x14ac:dyDescent="0.35">
      <c r="K24" s="96" t="s">
        <v>226</v>
      </c>
      <c r="L24" s="96">
        <v>-5.6246839816678322E-2</v>
      </c>
      <c r="M24" s="96">
        <v>0.25624701523730314</v>
      </c>
      <c r="N24" s="96">
        <v>-0.21950241943146034</v>
      </c>
      <c r="O24" s="96">
        <v>0.83252213143305842</v>
      </c>
      <c r="P24" s="96">
        <v>-0.66217474644507124</v>
      </c>
      <c r="Q24" s="96">
        <v>0.54968106681171458</v>
      </c>
      <c r="R24" s="96">
        <v>-0.66217474644507124</v>
      </c>
      <c r="S24" s="96">
        <v>0.54968106681171458</v>
      </c>
    </row>
    <row r="26" spans="1:19" x14ac:dyDescent="0.3">
      <c r="A26" s="125" t="s">
        <v>227</v>
      </c>
      <c r="B26" s="125"/>
      <c r="C26" s="125"/>
      <c r="D26" s="125"/>
      <c r="E26" s="125"/>
      <c r="F26" s="125"/>
      <c r="G26" s="125"/>
      <c r="H26" s="125"/>
      <c r="I26" s="99"/>
    </row>
    <row r="27" spans="1:19" x14ac:dyDescent="0.3">
      <c r="A27" s="7" t="s">
        <v>92</v>
      </c>
      <c r="B27" s="7" t="s">
        <v>17</v>
      </c>
      <c r="C27" s="7" t="s">
        <v>133</v>
      </c>
      <c r="D27" s="7" t="s">
        <v>135</v>
      </c>
      <c r="E27" s="7" t="s">
        <v>136</v>
      </c>
      <c r="F27" s="7" t="s">
        <v>137</v>
      </c>
      <c r="G27" s="7" t="s">
        <v>138</v>
      </c>
      <c r="H27" s="100" t="s">
        <v>139</v>
      </c>
      <c r="I27" s="101"/>
      <c r="K27" s="86" t="s">
        <v>24</v>
      </c>
    </row>
    <row r="28" spans="1:19" ht="19.5" thickBot="1" x14ac:dyDescent="0.35">
      <c r="A28" s="7" t="s">
        <v>109</v>
      </c>
      <c r="B28" s="60">
        <v>9.17</v>
      </c>
      <c r="C28" s="60">
        <v>20.46</v>
      </c>
      <c r="D28" s="60">
        <v>2.2999999999999998</v>
      </c>
      <c r="E28" s="60">
        <v>76.2</v>
      </c>
      <c r="F28" s="60">
        <v>0.92500000000000004</v>
      </c>
      <c r="G28" s="60">
        <v>38</v>
      </c>
      <c r="H28" s="60">
        <v>2</v>
      </c>
    </row>
    <row r="29" spans="1:19" x14ac:dyDescent="0.3">
      <c r="A29" s="7" t="s">
        <v>122</v>
      </c>
      <c r="B29" s="60">
        <v>6.85</v>
      </c>
      <c r="C29" s="60">
        <v>17.920000000000002</v>
      </c>
      <c r="D29" s="60">
        <v>3.3</v>
      </c>
      <c r="E29" s="60">
        <v>76.2</v>
      </c>
      <c r="F29" s="60">
        <v>0.91600000000000004</v>
      </c>
      <c r="G29" s="60">
        <v>44.3</v>
      </c>
      <c r="H29" s="60">
        <v>1</v>
      </c>
      <c r="K29" s="95" t="s">
        <v>25</v>
      </c>
      <c r="L29" s="95"/>
    </row>
    <row r="30" spans="1:19" x14ac:dyDescent="0.3">
      <c r="A30" s="7" t="s">
        <v>119</v>
      </c>
      <c r="B30" s="60">
        <v>4.3</v>
      </c>
      <c r="C30" s="60">
        <v>5.74</v>
      </c>
      <c r="D30" s="60">
        <v>73.8</v>
      </c>
      <c r="E30" s="60">
        <v>66.3</v>
      </c>
      <c r="F30" s="60">
        <v>0.80400000000000005</v>
      </c>
      <c r="G30" s="60">
        <v>67.5</v>
      </c>
      <c r="H30" s="60">
        <v>16.7</v>
      </c>
      <c r="K30" s="86" t="s">
        <v>26</v>
      </c>
      <c r="L30" s="86">
        <v>0.94417632726848666</v>
      </c>
    </row>
    <row r="31" spans="1:19" x14ac:dyDescent="0.3">
      <c r="A31" s="7" t="s">
        <v>218</v>
      </c>
      <c r="B31" s="60">
        <v>8.64</v>
      </c>
      <c r="C31" s="60">
        <v>19.940000000000001</v>
      </c>
      <c r="D31" s="60">
        <v>2</v>
      </c>
      <c r="E31" s="60">
        <v>76</v>
      </c>
      <c r="F31" s="60">
        <v>0.92100000000000004</v>
      </c>
      <c r="G31" s="60">
        <v>40.299999999999997</v>
      </c>
      <c r="H31" s="60">
        <v>1</v>
      </c>
      <c r="K31" s="86" t="s">
        <v>27</v>
      </c>
      <c r="L31" s="86">
        <v>0.89146893697420837</v>
      </c>
    </row>
    <row r="32" spans="1:19" x14ac:dyDescent="0.3">
      <c r="A32" s="7" t="s">
        <v>219</v>
      </c>
      <c r="B32" s="60">
        <v>8.3699999999999992</v>
      </c>
      <c r="C32" s="60">
        <v>18.07</v>
      </c>
      <c r="D32" s="60">
        <v>2</v>
      </c>
      <c r="E32" s="60">
        <v>77.400000000000006</v>
      </c>
      <c r="F32" s="60">
        <v>0.93600000000000005</v>
      </c>
      <c r="G32" s="60">
        <v>36.9</v>
      </c>
      <c r="H32" s="60">
        <v>2</v>
      </c>
      <c r="K32" s="86" t="s">
        <v>28</v>
      </c>
      <c r="L32" s="86">
        <v>0.8100706397048647</v>
      </c>
    </row>
    <row r="33" spans="1:19" x14ac:dyDescent="0.3">
      <c r="A33" s="7" t="s">
        <v>118</v>
      </c>
      <c r="B33" s="60">
        <v>7.82</v>
      </c>
      <c r="C33" s="60">
        <v>14.29</v>
      </c>
      <c r="D33" s="60">
        <v>4.7</v>
      </c>
      <c r="E33" s="60">
        <v>77.599999999999994</v>
      </c>
      <c r="F33" s="60">
        <v>0.93</v>
      </c>
      <c r="G33" s="60">
        <v>36.6</v>
      </c>
      <c r="H33" s="60">
        <v>5</v>
      </c>
      <c r="K33" s="86" t="s">
        <v>29</v>
      </c>
      <c r="L33" s="86">
        <v>1.1249133516192509</v>
      </c>
    </row>
    <row r="34" spans="1:19" ht="19.5" thickBot="1" x14ac:dyDescent="0.35">
      <c r="A34" s="7" t="s">
        <v>121</v>
      </c>
      <c r="B34" s="60">
        <v>6.8</v>
      </c>
      <c r="C34" s="60">
        <v>18.09</v>
      </c>
      <c r="D34" s="60">
        <v>5.4</v>
      </c>
      <c r="E34" s="60">
        <v>77.5</v>
      </c>
      <c r="F34" s="60">
        <v>0.91200000000000003</v>
      </c>
      <c r="G34" s="60">
        <v>41</v>
      </c>
      <c r="H34" s="60">
        <v>3</v>
      </c>
      <c r="K34" s="96" t="s">
        <v>30</v>
      </c>
      <c r="L34" s="96">
        <v>15</v>
      </c>
    </row>
    <row r="35" spans="1:19" x14ac:dyDescent="0.3">
      <c r="A35" s="7" t="s">
        <v>120</v>
      </c>
      <c r="B35" s="60">
        <v>9.06</v>
      </c>
      <c r="C35" s="60">
        <v>22.32</v>
      </c>
      <c r="D35" s="60">
        <v>2.4</v>
      </c>
      <c r="E35" s="60">
        <v>77.400000000000006</v>
      </c>
      <c r="F35" s="60">
        <v>0.95</v>
      </c>
      <c r="G35" s="60">
        <v>40.200000000000003</v>
      </c>
      <c r="H35" s="60">
        <v>2</v>
      </c>
    </row>
    <row r="36" spans="1:19" ht="19.5" thickBot="1" x14ac:dyDescent="0.35">
      <c r="A36" s="7" t="s">
        <v>220</v>
      </c>
      <c r="B36" s="60">
        <v>2.5099999999999998</v>
      </c>
      <c r="C36" s="60">
        <v>2.52</v>
      </c>
      <c r="D36" s="60">
        <v>17.100000000000001</v>
      </c>
      <c r="E36" s="60">
        <v>68.5</v>
      </c>
      <c r="F36" s="60">
        <v>0.59399999999999997</v>
      </c>
      <c r="G36" s="60">
        <v>41.8</v>
      </c>
      <c r="H36" s="60">
        <v>26.7</v>
      </c>
      <c r="K36" s="86" t="s">
        <v>31</v>
      </c>
    </row>
    <row r="37" spans="1:19" x14ac:dyDescent="0.3">
      <c r="A37" s="7" t="s">
        <v>105</v>
      </c>
      <c r="B37" s="60">
        <v>9.2799999999999994</v>
      </c>
      <c r="C37" s="60">
        <v>21.61</v>
      </c>
      <c r="D37" s="60">
        <v>2.5</v>
      </c>
      <c r="E37" s="60">
        <v>76.900000000000006</v>
      </c>
      <c r="F37" s="60">
        <v>0.93200000000000005</v>
      </c>
      <c r="G37" s="60">
        <v>36.700000000000003</v>
      </c>
      <c r="H37" s="60">
        <v>0</v>
      </c>
      <c r="K37" s="97"/>
      <c r="L37" s="97" t="s">
        <v>36</v>
      </c>
      <c r="M37" s="97" t="s">
        <v>37</v>
      </c>
      <c r="N37" s="97" t="s">
        <v>38</v>
      </c>
      <c r="O37" s="97" t="s">
        <v>39</v>
      </c>
      <c r="P37" s="97" t="s">
        <v>40</v>
      </c>
    </row>
    <row r="38" spans="1:19" x14ac:dyDescent="0.3">
      <c r="A38" s="7" t="s">
        <v>221</v>
      </c>
      <c r="B38" s="60">
        <v>0.82</v>
      </c>
      <c r="C38" s="60">
        <v>5.26</v>
      </c>
      <c r="D38" s="60">
        <v>231</v>
      </c>
      <c r="E38" s="60">
        <v>67.599999999999994</v>
      </c>
      <c r="F38" s="60">
        <v>0.84899999999999998</v>
      </c>
      <c r="G38" s="60">
        <v>65.3</v>
      </c>
      <c r="H38" s="60">
        <v>2</v>
      </c>
      <c r="K38" s="86" t="s">
        <v>32</v>
      </c>
      <c r="L38" s="86">
        <v>6</v>
      </c>
      <c r="M38" s="86">
        <v>83.153452944123288</v>
      </c>
      <c r="N38" s="86">
        <v>13.858908824020547</v>
      </c>
      <c r="O38" s="86">
        <v>10.951935935765002</v>
      </c>
      <c r="P38" s="86">
        <v>1.7361178922961126E-3</v>
      </c>
    </row>
    <row r="39" spans="1:19" x14ac:dyDescent="0.3">
      <c r="A39" s="7" t="s">
        <v>126</v>
      </c>
      <c r="B39" s="60">
        <v>7.89</v>
      </c>
      <c r="C39" s="60">
        <v>26.65</v>
      </c>
      <c r="D39" s="60">
        <v>2.9</v>
      </c>
      <c r="E39" s="60">
        <v>76</v>
      </c>
      <c r="F39" s="60">
        <v>0.93700000000000006</v>
      </c>
      <c r="G39" s="60">
        <v>41.9</v>
      </c>
      <c r="H39" s="60">
        <v>0.5</v>
      </c>
      <c r="K39" s="86" t="s">
        <v>33</v>
      </c>
      <c r="L39" s="86">
        <v>8</v>
      </c>
      <c r="M39" s="86">
        <v>10.12344038921005</v>
      </c>
      <c r="N39" s="86">
        <v>1.2654300486512562</v>
      </c>
    </row>
    <row r="40" spans="1:19" ht="19.5" thickBot="1" x14ac:dyDescent="0.35">
      <c r="A40" s="7" t="s">
        <v>123</v>
      </c>
      <c r="B40" s="60">
        <v>8</v>
      </c>
      <c r="C40" s="60">
        <v>19.98</v>
      </c>
      <c r="D40" s="60">
        <v>1.9</v>
      </c>
      <c r="E40" s="60">
        <v>76.900000000000006</v>
      </c>
      <c r="F40" s="60">
        <v>0.93</v>
      </c>
      <c r="G40" s="60">
        <v>41.9</v>
      </c>
      <c r="H40" s="60">
        <v>1</v>
      </c>
      <c r="K40" s="96" t="s">
        <v>34</v>
      </c>
      <c r="L40" s="96">
        <v>14</v>
      </c>
      <c r="M40" s="96">
        <v>93.276893333333334</v>
      </c>
      <c r="N40" s="96"/>
      <c r="O40" s="96"/>
      <c r="P40" s="96"/>
    </row>
    <row r="41" spans="1:19" ht="19.5" thickBot="1" x14ac:dyDescent="0.35">
      <c r="A41" s="7" t="s">
        <v>110</v>
      </c>
      <c r="B41" s="60">
        <v>9</v>
      </c>
      <c r="C41" s="60">
        <v>23.48</v>
      </c>
      <c r="D41" s="60">
        <v>1.8</v>
      </c>
      <c r="E41" s="60">
        <v>78</v>
      </c>
      <c r="F41" s="60">
        <v>0.92500000000000004</v>
      </c>
      <c r="G41" s="60">
        <v>44.8</v>
      </c>
      <c r="H41" s="60">
        <v>0</v>
      </c>
    </row>
    <row r="42" spans="1:19" x14ac:dyDescent="0.3">
      <c r="A42" s="7" t="s">
        <v>125</v>
      </c>
      <c r="B42" s="60">
        <v>5.43</v>
      </c>
      <c r="C42" s="60">
        <v>21.62</v>
      </c>
      <c r="D42" s="60">
        <v>0</v>
      </c>
      <c r="E42" s="60">
        <v>79.5</v>
      </c>
      <c r="F42" s="60">
        <v>0.93700000000000006</v>
      </c>
      <c r="G42" s="60">
        <v>37.5</v>
      </c>
      <c r="H42" s="60">
        <v>0</v>
      </c>
      <c r="K42" s="97"/>
      <c r="L42" s="97" t="s">
        <v>41</v>
      </c>
      <c r="M42" s="97" t="s">
        <v>29</v>
      </c>
      <c r="N42" s="97" t="s">
        <v>42</v>
      </c>
      <c r="O42" s="97" t="s">
        <v>43</v>
      </c>
      <c r="P42" s="97" t="s">
        <v>44</v>
      </c>
      <c r="Q42" s="97" t="s">
        <v>45</v>
      </c>
      <c r="R42" s="97" t="s">
        <v>46</v>
      </c>
      <c r="S42" s="97" t="s">
        <v>47</v>
      </c>
    </row>
    <row r="43" spans="1:19" x14ac:dyDescent="0.3">
      <c r="K43" s="86" t="s">
        <v>35</v>
      </c>
      <c r="L43" s="86">
        <v>35.727062293167535</v>
      </c>
      <c r="M43" s="86">
        <v>30.100315872706677</v>
      </c>
      <c r="N43" s="86">
        <v>1.1869331353284198</v>
      </c>
      <c r="O43" s="86">
        <v>0.26930155936656253</v>
      </c>
      <c r="P43" s="86">
        <v>-33.68439058024569</v>
      </c>
      <c r="Q43" s="86">
        <v>105.13851516658076</v>
      </c>
      <c r="R43" s="86">
        <v>-33.68439058024569</v>
      </c>
      <c r="S43" s="86">
        <v>105.13851516658076</v>
      </c>
    </row>
    <row r="44" spans="1:19" x14ac:dyDescent="0.3">
      <c r="K44" s="86" t="s">
        <v>48</v>
      </c>
      <c r="L44" s="86">
        <v>5.7202850683921017E-2</v>
      </c>
      <c r="M44" s="86">
        <v>0.14690496031881706</v>
      </c>
      <c r="N44" s="86">
        <v>0.38938678830025797</v>
      </c>
      <c r="O44" s="86">
        <v>0.70715039033284099</v>
      </c>
      <c r="P44" s="86">
        <v>-0.28156059529327521</v>
      </c>
      <c r="Q44" s="86">
        <v>0.39596629666111721</v>
      </c>
      <c r="R44" s="86">
        <v>-0.28156059529327521</v>
      </c>
      <c r="S44" s="86">
        <v>0.39596629666111721</v>
      </c>
    </row>
    <row r="45" spans="1:19" x14ac:dyDescent="0.3">
      <c r="K45" s="86" t="s">
        <v>222</v>
      </c>
      <c r="L45" s="86">
        <v>-3.1499906435401237E-2</v>
      </c>
      <c r="M45" s="86">
        <v>1.9259425376644535E-2</v>
      </c>
      <c r="N45" s="86">
        <v>-1.6355579576948569</v>
      </c>
      <c r="O45" s="86">
        <v>0.14057070071605382</v>
      </c>
      <c r="P45" s="86">
        <v>-7.5912220995599605E-2</v>
      </c>
      <c r="Q45" s="86">
        <v>1.2912408124797138E-2</v>
      </c>
      <c r="R45" s="86">
        <v>-7.5912220995599605E-2</v>
      </c>
      <c r="S45" s="86">
        <v>1.2912408124797138E-2</v>
      </c>
    </row>
    <row r="46" spans="1:19" x14ac:dyDescent="0.3">
      <c r="K46" s="86" t="s">
        <v>223</v>
      </c>
      <c r="L46" s="86">
        <v>-0.59036988960832193</v>
      </c>
      <c r="M46" s="86">
        <v>0.34354134593992919</v>
      </c>
      <c r="N46" s="86">
        <v>-1.7184827869643167</v>
      </c>
      <c r="O46" s="86">
        <v>0.12403067014584457</v>
      </c>
      <c r="P46" s="86">
        <v>-1.3825776539594039</v>
      </c>
      <c r="Q46" s="86">
        <v>0.20183787474276005</v>
      </c>
      <c r="R46" s="86">
        <v>-1.3825776539594039</v>
      </c>
      <c r="S46" s="86">
        <v>0.20183787474276005</v>
      </c>
    </row>
    <row r="47" spans="1:19" x14ac:dyDescent="0.3">
      <c r="K47" s="86" t="s">
        <v>224</v>
      </c>
      <c r="L47" s="86">
        <v>23.098237182692351</v>
      </c>
      <c r="M47" s="86">
        <v>13.005063922872226</v>
      </c>
      <c r="N47" s="86">
        <v>1.7760956285704286</v>
      </c>
      <c r="O47" s="86">
        <v>0.11362517497498546</v>
      </c>
      <c r="P47" s="86">
        <v>-6.8914940020455298</v>
      </c>
      <c r="Q47" s="86">
        <v>53.087968367430236</v>
      </c>
      <c r="R47" s="86">
        <v>-6.8914940020455298</v>
      </c>
      <c r="S47" s="86">
        <v>53.087968367430236</v>
      </c>
    </row>
    <row r="48" spans="1:19" x14ac:dyDescent="0.3">
      <c r="K48" s="86" t="s">
        <v>225</v>
      </c>
      <c r="L48" s="86">
        <v>-0.11621082854832092</v>
      </c>
      <c r="M48" s="86">
        <v>8.9771073774004964E-2</v>
      </c>
      <c r="N48" s="86">
        <v>-1.2945242121184488</v>
      </c>
      <c r="O48" s="86">
        <v>0.23159725467982595</v>
      </c>
      <c r="P48" s="86">
        <v>-0.32322329589289472</v>
      </c>
      <c r="Q48" s="86">
        <v>9.0801638796252901E-2</v>
      </c>
      <c r="R48" s="86">
        <v>-0.32322329589289472</v>
      </c>
      <c r="S48" s="86">
        <v>9.0801638796252901E-2</v>
      </c>
    </row>
    <row r="49" spans="1:19" ht="19.5" thickBot="1" x14ac:dyDescent="0.35">
      <c r="K49" s="96" t="s">
        <v>226</v>
      </c>
      <c r="L49" s="96">
        <v>-4.8465971606193661E-2</v>
      </c>
      <c r="M49" s="96">
        <v>0.23338241773137089</v>
      </c>
      <c r="N49" s="102">
        <v>-0.20766762156855889</v>
      </c>
      <c r="O49" s="102">
        <v>0.84067751770769328</v>
      </c>
      <c r="P49" s="96">
        <v>-0.5866467919786813</v>
      </c>
      <c r="Q49" s="96">
        <v>0.48971484876629395</v>
      </c>
      <c r="R49" s="96">
        <v>-0.5866467919786813</v>
      </c>
      <c r="S49" s="96">
        <v>0.48971484876629395</v>
      </c>
    </row>
    <row r="51" spans="1:19" x14ac:dyDescent="0.3">
      <c r="A51" s="125" t="s">
        <v>228</v>
      </c>
      <c r="B51" s="125"/>
      <c r="C51" s="125"/>
      <c r="D51" s="125"/>
      <c r="E51" s="125"/>
      <c r="F51" s="125"/>
      <c r="G51" s="125"/>
    </row>
    <row r="52" spans="1:19" x14ac:dyDescent="0.3">
      <c r="A52" s="7" t="s">
        <v>92</v>
      </c>
      <c r="B52" s="7" t="s">
        <v>17</v>
      </c>
      <c r="C52" s="7" t="s">
        <v>133</v>
      </c>
      <c r="D52" s="7" t="s">
        <v>135</v>
      </c>
      <c r="E52" s="7" t="s">
        <v>136</v>
      </c>
      <c r="F52" s="7" t="s">
        <v>137</v>
      </c>
      <c r="G52" s="100" t="s">
        <v>138</v>
      </c>
      <c r="H52" s="101"/>
      <c r="J52" s="26"/>
      <c r="K52" s="86" t="s">
        <v>24</v>
      </c>
    </row>
    <row r="53" spans="1:19" ht="19.5" thickBot="1" x14ac:dyDescent="0.35">
      <c r="A53" s="7" t="s">
        <v>109</v>
      </c>
      <c r="B53" s="60">
        <v>9.17</v>
      </c>
      <c r="C53" s="60">
        <v>20.46</v>
      </c>
      <c r="D53" s="60">
        <v>2.2999999999999998</v>
      </c>
      <c r="E53" s="60">
        <v>76.2</v>
      </c>
      <c r="F53" s="60">
        <v>0.92500000000000004</v>
      </c>
      <c r="G53" s="60">
        <v>38</v>
      </c>
      <c r="J53" s="26"/>
    </row>
    <row r="54" spans="1:19" x14ac:dyDescent="0.3">
      <c r="A54" s="7" t="s">
        <v>122</v>
      </c>
      <c r="B54" s="60">
        <v>6.85</v>
      </c>
      <c r="C54" s="60">
        <v>17.920000000000002</v>
      </c>
      <c r="D54" s="60">
        <v>3.3</v>
      </c>
      <c r="E54" s="60">
        <v>76.2</v>
      </c>
      <c r="F54" s="60">
        <v>0.91600000000000004</v>
      </c>
      <c r="G54" s="60">
        <v>44.3</v>
      </c>
      <c r="J54" s="26"/>
      <c r="K54" s="95" t="s">
        <v>25</v>
      </c>
      <c r="L54" s="95"/>
    </row>
    <row r="55" spans="1:19" x14ac:dyDescent="0.3">
      <c r="A55" s="7" t="s">
        <v>119</v>
      </c>
      <c r="B55" s="60">
        <v>4.3</v>
      </c>
      <c r="C55" s="60">
        <v>5.74</v>
      </c>
      <c r="D55" s="60">
        <v>73.8</v>
      </c>
      <c r="E55" s="60">
        <v>66.3</v>
      </c>
      <c r="F55" s="60">
        <v>0.80400000000000005</v>
      </c>
      <c r="G55" s="60">
        <v>67.5</v>
      </c>
      <c r="J55" s="26"/>
      <c r="K55" s="86" t="s">
        <v>26</v>
      </c>
      <c r="L55" s="86">
        <v>0.94386644992954716</v>
      </c>
    </row>
    <row r="56" spans="1:19" x14ac:dyDescent="0.3">
      <c r="A56" s="7" t="s">
        <v>218</v>
      </c>
      <c r="B56" s="60">
        <v>8.64</v>
      </c>
      <c r="C56" s="60">
        <v>19.940000000000001</v>
      </c>
      <c r="D56" s="60">
        <v>2</v>
      </c>
      <c r="E56" s="60">
        <v>76</v>
      </c>
      <c r="F56" s="60">
        <v>0.92100000000000004</v>
      </c>
      <c r="G56" s="60">
        <v>40.299999999999997</v>
      </c>
      <c r="J56" s="26"/>
      <c r="K56" s="86" t="s">
        <v>27</v>
      </c>
      <c r="L56" s="86">
        <v>0.89088387530260638</v>
      </c>
    </row>
    <row r="57" spans="1:19" x14ac:dyDescent="0.3">
      <c r="A57" s="7" t="s">
        <v>219</v>
      </c>
      <c r="B57" s="60">
        <v>8.3699999999999992</v>
      </c>
      <c r="C57" s="60">
        <v>18.07</v>
      </c>
      <c r="D57" s="60">
        <v>2</v>
      </c>
      <c r="E57" s="60">
        <v>77.400000000000006</v>
      </c>
      <c r="F57" s="60">
        <v>0.93600000000000005</v>
      </c>
      <c r="G57" s="60">
        <v>36.9</v>
      </c>
      <c r="J57" s="26"/>
      <c r="K57" s="86" t="s">
        <v>28</v>
      </c>
      <c r="L57" s="86">
        <v>0.8302638060262767</v>
      </c>
    </row>
    <row r="58" spans="1:19" x14ac:dyDescent="0.3">
      <c r="A58" s="7" t="s">
        <v>118</v>
      </c>
      <c r="B58" s="60">
        <v>7.82</v>
      </c>
      <c r="C58" s="60">
        <v>14.29</v>
      </c>
      <c r="D58" s="60">
        <v>4.7</v>
      </c>
      <c r="E58" s="60">
        <v>77.599999999999994</v>
      </c>
      <c r="F58" s="60">
        <v>0.93</v>
      </c>
      <c r="G58" s="60">
        <v>36.6</v>
      </c>
      <c r="J58" s="26"/>
      <c r="K58" s="86" t="s">
        <v>29</v>
      </c>
      <c r="L58" s="86">
        <v>1.063433282885907</v>
      </c>
    </row>
    <row r="59" spans="1:19" ht="19.5" thickBot="1" x14ac:dyDescent="0.35">
      <c r="A59" s="7" t="s">
        <v>121</v>
      </c>
      <c r="B59" s="60">
        <v>6.8</v>
      </c>
      <c r="C59" s="60">
        <v>18.09</v>
      </c>
      <c r="D59" s="60">
        <v>5.4</v>
      </c>
      <c r="E59" s="60">
        <v>77.5</v>
      </c>
      <c r="F59" s="60">
        <v>0.91200000000000003</v>
      </c>
      <c r="G59" s="60">
        <v>41</v>
      </c>
      <c r="J59" s="26"/>
      <c r="K59" s="96" t="s">
        <v>30</v>
      </c>
      <c r="L59" s="96">
        <v>15</v>
      </c>
    </row>
    <row r="60" spans="1:19" x14ac:dyDescent="0.3">
      <c r="A60" s="7" t="s">
        <v>120</v>
      </c>
      <c r="B60" s="60">
        <v>9.06</v>
      </c>
      <c r="C60" s="60">
        <v>22.32</v>
      </c>
      <c r="D60" s="60">
        <v>2.4</v>
      </c>
      <c r="E60" s="60">
        <v>77.400000000000006</v>
      </c>
      <c r="F60" s="60">
        <v>0.95</v>
      </c>
      <c r="G60" s="60">
        <v>40.200000000000003</v>
      </c>
      <c r="J60" s="26"/>
    </row>
    <row r="61" spans="1:19" ht="19.5" thickBot="1" x14ac:dyDescent="0.35">
      <c r="A61" s="7" t="s">
        <v>220</v>
      </c>
      <c r="B61" s="60">
        <v>2.5099999999999998</v>
      </c>
      <c r="C61" s="60">
        <v>2.52</v>
      </c>
      <c r="D61" s="60">
        <v>17.100000000000001</v>
      </c>
      <c r="E61" s="60">
        <v>68.5</v>
      </c>
      <c r="F61" s="60">
        <v>0.59399999999999997</v>
      </c>
      <c r="G61" s="60">
        <v>41.8</v>
      </c>
      <c r="J61" s="26"/>
      <c r="K61" s="86" t="s">
        <v>31</v>
      </c>
    </row>
    <row r="62" spans="1:19" x14ac:dyDescent="0.3">
      <c r="A62" s="7" t="s">
        <v>105</v>
      </c>
      <c r="B62" s="60">
        <v>9.2799999999999994</v>
      </c>
      <c r="C62" s="60">
        <v>21.61</v>
      </c>
      <c r="D62" s="60">
        <v>2.5</v>
      </c>
      <c r="E62" s="60">
        <v>76.900000000000006</v>
      </c>
      <c r="F62" s="60">
        <v>0.93200000000000005</v>
      </c>
      <c r="G62" s="60">
        <v>36.700000000000003</v>
      </c>
      <c r="J62" s="26"/>
      <c r="K62" s="97"/>
      <c r="L62" s="97" t="s">
        <v>36</v>
      </c>
      <c r="M62" s="97" t="s">
        <v>37</v>
      </c>
      <c r="N62" s="97" t="s">
        <v>38</v>
      </c>
      <c r="O62" s="97" t="s">
        <v>39</v>
      </c>
      <c r="P62" s="97" t="s">
        <v>40</v>
      </c>
    </row>
    <row r="63" spans="1:19" x14ac:dyDescent="0.3">
      <c r="A63" s="7" t="s">
        <v>221</v>
      </c>
      <c r="B63" s="60">
        <v>0.82</v>
      </c>
      <c r="C63" s="60">
        <v>5.26</v>
      </c>
      <c r="D63" s="60">
        <v>231</v>
      </c>
      <c r="E63" s="60">
        <v>67.599999999999994</v>
      </c>
      <c r="F63" s="60">
        <v>0.84899999999999998</v>
      </c>
      <c r="G63" s="60">
        <v>65.3</v>
      </c>
      <c r="J63" s="26"/>
      <c r="K63" s="86" t="s">
        <v>32</v>
      </c>
      <c r="L63" s="86">
        <v>5</v>
      </c>
      <c r="M63" s="86">
        <v>83.09888020898785</v>
      </c>
      <c r="N63" s="86">
        <v>16.619776041797572</v>
      </c>
      <c r="O63" s="86">
        <v>14.69618702086289</v>
      </c>
      <c r="P63" s="86">
        <v>4.2118474643466778E-4</v>
      </c>
    </row>
    <row r="64" spans="1:19" x14ac:dyDescent="0.3">
      <c r="A64" s="7" t="s">
        <v>126</v>
      </c>
      <c r="B64" s="60">
        <v>7.89</v>
      </c>
      <c r="C64" s="60">
        <v>26.65</v>
      </c>
      <c r="D64" s="60">
        <v>2.9</v>
      </c>
      <c r="E64" s="60">
        <v>76</v>
      </c>
      <c r="F64" s="60">
        <v>0.93700000000000006</v>
      </c>
      <c r="G64" s="60">
        <v>41.9</v>
      </c>
      <c r="J64" s="26"/>
      <c r="K64" s="86" t="s">
        <v>33</v>
      </c>
      <c r="L64" s="86">
        <v>9</v>
      </c>
      <c r="M64" s="86">
        <v>10.178013124345476</v>
      </c>
      <c r="N64" s="86">
        <v>1.1308903471494973</v>
      </c>
    </row>
    <row r="65" spans="1:19" ht="19.5" thickBot="1" x14ac:dyDescent="0.35">
      <c r="A65" s="7" t="s">
        <v>123</v>
      </c>
      <c r="B65" s="60">
        <v>8</v>
      </c>
      <c r="C65" s="60">
        <v>19.98</v>
      </c>
      <c r="D65" s="60">
        <v>1.9</v>
      </c>
      <c r="E65" s="60">
        <v>76.900000000000006</v>
      </c>
      <c r="F65" s="60">
        <v>0.93</v>
      </c>
      <c r="G65" s="60">
        <v>41.9</v>
      </c>
      <c r="J65" s="26"/>
      <c r="K65" s="96" t="s">
        <v>34</v>
      </c>
      <c r="L65" s="96">
        <v>14</v>
      </c>
      <c r="M65" s="96">
        <v>93.276893333333334</v>
      </c>
      <c r="N65" s="96"/>
      <c r="O65" s="96"/>
      <c r="P65" s="96"/>
    </row>
    <row r="66" spans="1:19" ht="19.5" thickBot="1" x14ac:dyDescent="0.35">
      <c r="A66" s="7" t="s">
        <v>110</v>
      </c>
      <c r="B66" s="60">
        <v>9</v>
      </c>
      <c r="C66" s="60">
        <v>23.48</v>
      </c>
      <c r="D66" s="60">
        <v>1.8</v>
      </c>
      <c r="E66" s="60">
        <v>78</v>
      </c>
      <c r="F66" s="60">
        <v>0.92500000000000004</v>
      </c>
      <c r="G66" s="60">
        <v>44.8</v>
      </c>
      <c r="J66" s="26"/>
    </row>
    <row r="67" spans="1:19" x14ac:dyDescent="0.3">
      <c r="A67" s="7" t="s">
        <v>125</v>
      </c>
      <c r="B67" s="60">
        <v>5.43</v>
      </c>
      <c r="C67" s="60">
        <v>21.62</v>
      </c>
      <c r="D67" s="60">
        <v>0</v>
      </c>
      <c r="E67" s="60">
        <v>79.5</v>
      </c>
      <c r="F67" s="60">
        <v>0.93700000000000006</v>
      </c>
      <c r="G67" s="60">
        <v>37.5</v>
      </c>
      <c r="J67" s="26"/>
      <c r="K67" s="97"/>
      <c r="L67" s="97" t="s">
        <v>41</v>
      </c>
      <c r="M67" s="97" t="s">
        <v>29</v>
      </c>
      <c r="N67" s="97" t="s">
        <v>42</v>
      </c>
      <c r="O67" s="97" t="s">
        <v>43</v>
      </c>
      <c r="P67" s="97" t="s">
        <v>44</v>
      </c>
      <c r="Q67" s="97" t="s">
        <v>45</v>
      </c>
      <c r="R67" s="97" t="s">
        <v>46</v>
      </c>
      <c r="S67" s="97" t="s">
        <v>47</v>
      </c>
    </row>
    <row r="68" spans="1:19" x14ac:dyDescent="0.3">
      <c r="K68" s="86" t="s">
        <v>35</v>
      </c>
      <c r="L68" s="86">
        <v>31.18890469438977</v>
      </c>
      <c r="M68" s="86">
        <v>19.568360472546317</v>
      </c>
      <c r="N68" s="86">
        <v>1.5938435280843608</v>
      </c>
      <c r="O68" s="86">
        <v>0.14543527998480055</v>
      </c>
      <c r="P68" s="86">
        <v>-13.077802112798153</v>
      </c>
      <c r="Q68" s="86">
        <v>75.455611501577692</v>
      </c>
      <c r="R68" s="86">
        <v>-13.077802112798153</v>
      </c>
      <c r="S68" s="86">
        <v>75.455611501577692</v>
      </c>
    </row>
    <row r="69" spans="1:19" x14ac:dyDescent="0.3">
      <c r="K69" s="86" t="s">
        <v>48</v>
      </c>
      <c r="L69" s="86">
        <v>7.7945783164286117E-2</v>
      </c>
      <c r="M69" s="86">
        <v>0.10183454151695177</v>
      </c>
      <c r="N69" s="98">
        <v>0.76541595811388774</v>
      </c>
      <c r="O69" s="98">
        <v>0.46362255318534207</v>
      </c>
      <c r="P69" s="86">
        <v>-0.15241995434855754</v>
      </c>
      <c r="Q69" s="86">
        <v>0.3083115206771298</v>
      </c>
      <c r="R69" s="86">
        <v>-0.15241995434855754</v>
      </c>
      <c r="S69" s="86">
        <v>0.3083115206771298</v>
      </c>
    </row>
    <row r="70" spans="1:19" x14ac:dyDescent="0.3">
      <c r="K70" s="86" t="s">
        <v>222</v>
      </c>
      <c r="L70" s="86">
        <v>-2.8067846262060089E-2</v>
      </c>
      <c r="M70" s="86">
        <v>9.3486009141204671E-3</v>
      </c>
      <c r="N70" s="86">
        <v>-3.0023579485209804</v>
      </c>
      <c r="O70" s="86">
        <v>1.4899290733989535E-2</v>
      </c>
      <c r="P70" s="86">
        <v>-4.9215850782079559E-2</v>
      </c>
      <c r="Q70" s="86">
        <v>-6.9198417420406229E-3</v>
      </c>
      <c r="R70" s="86">
        <v>-4.9215850782079559E-2</v>
      </c>
      <c r="S70" s="86">
        <v>-6.9198417420406229E-3</v>
      </c>
    </row>
    <row r="71" spans="1:19" x14ac:dyDescent="0.3">
      <c r="K71" s="86" t="s">
        <v>223</v>
      </c>
      <c r="L71" s="86">
        <v>-0.55921105881986199</v>
      </c>
      <c r="M71" s="86">
        <v>0.29215363212130196</v>
      </c>
      <c r="N71" s="86">
        <v>-1.9140992865961632</v>
      </c>
      <c r="O71" s="86">
        <v>8.7883038519611878E-2</v>
      </c>
      <c r="P71" s="86">
        <v>-1.2201084903605772</v>
      </c>
      <c r="Q71" s="86">
        <v>0.10168637272085312</v>
      </c>
      <c r="R71" s="86">
        <v>-1.2201084903605772</v>
      </c>
      <c r="S71" s="86">
        <v>0.10168637272085312</v>
      </c>
    </row>
    <row r="72" spans="1:19" x14ac:dyDescent="0.3">
      <c r="K72" s="86" t="s">
        <v>224</v>
      </c>
      <c r="L72" s="86">
        <v>24.956466605146755</v>
      </c>
      <c r="M72" s="86">
        <v>8.9215551985889974</v>
      </c>
      <c r="N72" s="86">
        <v>2.7973224454289971</v>
      </c>
      <c r="O72" s="86">
        <v>2.0803439650426695E-2</v>
      </c>
      <c r="P72" s="86">
        <v>4.77450660935909</v>
      </c>
      <c r="Q72" s="86">
        <v>45.138426600934423</v>
      </c>
      <c r="R72" s="86">
        <v>4.77450660935909</v>
      </c>
      <c r="S72" s="86">
        <v>45.138426600934423</v>
      </c>
    </row>
    <row r="73" spans="1:19" ht="19.5" thickBot="1" x14ac:dyDescent="0.35">
      <c r="K73" s="96" t="s">
        <v>225</v>
      </c>
      <c r="L73" s="96">
        <v>-0.11862775911851624</v>
      </c>
      <c r="M73" s="96">
        <v>8.4148571710515166E-2</v>
      </c>
      <c r="N73" s="96">
        <v>-1.4097418019953458</v>
      </c>
      <c r="O73" s="96">
        <v>0.1922231933475145</v>
      </c>
      <c r="P73" s="96">
        <v>-0.30898505335269655</v>
      </c>
      <c r="Q73" s="96">
        <v>7.1729535115664086E-2</v>
      </c>
      <c r="R73" s="96">
        <v>-0.30898505335269655</v>
      </c>
      <c r="S73" s="96">
        <v>7.1729535115664086E-2</v>
      </c>
    </row>
    <row r="75" spans="1:19" x14ac:dyDescent="0.3">
      <c r="A75" s="125" t="s">
        <v>229</v>
      </c>
      <c r="B75" s="125"/>
      <c r="C75" s="125"/>
      <c r="D75" s="125"/>
      <c r="E75" s="125"/>
      <c r="F75" s="125"/>
    </row>
    <row r="76" spans="1:19" x14ac:dyDescent="0.3">
      <c r="A76" s="7" t="s">
        <v>92</v>
      </c>
      <c r="B76" s="7" t="s">
        <v>17</v>
      </c>
      <c r="C76" s="7" t="s">
        <v>135</v>
      </c>
      <c r="D76" s="7" t="s">
        <v>136</v>
      </c>
      <c r="E76" s="7" t="s">
        <v>137</v>
      </c>
      <c r="F76" s="100" t="s">
        <v>138</v>
      </c>
      <c r="G76" s="101"/>
      <c r="J76" s="26"/>
      <c r="K76" s="86" t="s">
        <v>24</v>
      </c>
    </row>
    <row r="77" spans="1:19" ht="19.5" thickBot="1" x14ac:dyDescent="0.35">
      <c r="A77" s="7" t="s">
        <v>109</v>
      </c>
      <c r="B77" s="60">
        <v>9.17</v>
      </c>
      <c r="C77" s="60">
        <v>2.2999999999999998</v>
      </c>
      <c r="D77" s="60">
        <v>76.2</v>
      </c>
      <c r="E77" s="60">
        <v>0.92500000000000004</v>
      </c>
      <c r="F77" s="60">
        <v>38</v>
      </c>
      <c r="J77" s="26"/>
    </row>
    <row r="78" spans="1:19" x14ac:dyDescent="0.3">
      <c r="A78" s="7" t="s">
        <v>122</v>
      </c>
      <c r="B78" s="60">
        <v>6.85</v>
      </c>
      <c r="C78" s="60">
        <v>3.3</v>
      </c>
      <c r="D78" s="60">
        <v>76.2</v>
      </c>
      <c r="E78" s="60">
        <v>0.91600000000000004</v>
      </c>
      <c r="F78" s="60">
        <v>44.3</v>
      </c>
      <c r="J78" s="26"/>
      <c r="K78" s="95" t="s">
        <v>25</v>
      </c>
      <c r="L78" s="95"/>
    </row>
    <row r="79" spans="1:19" x14ac:dyDescent="0.3">
      <c r="A79" s="7" t="s">
        <v>119</v>
      </c>
      <c r="B79" s="60">
        <v>4.3</v>
      </c>
      <c r="C79" s="60">
        <v>73.8</v>
      </c>
      <c r="D79" s="60">
        <v>66.3</v>
      </c>
      <c r="E79" s="60">
        <v>0.80400000000000005</v>
      </c>
      <c r="F79" s="60">
        <v>67.5</v>
      </c>
      <c r="J79" s="26"/>
      <c r="K79" s="86" t="s">
        <v>26</v>
      </c>
      <c r="L79" s="86">
        <v>0.94009620852393905</v>
      </c>
    </row>
    <row r="80" spans="1:19" x14ac:dyDescent="0.3">
      <c r="A80" s="7" t="s">
        <v>218</v>
      </c>
      <c r="B80" s="60">
        <v>8.64</v>
      </c>
      <c r="C80" s="60">
        <v>2</v>
      </c>
      <c r="D80" s="60">
        <v>76</v>
      </c>
      <c r="E80" s="60">
        <v>0.92100000000000004</v>
      </c>
      <c r="F80" s="60">
        <v>40.299999999999997</v>
      </c>
      <c r="J80" s="26"/>
      <c r="K80" s="86" t="s">
        <v>27</v>
      </c>
      <c r="L80" s="86">
        <v>0.88378088128108556</v>
      </c>
    </row>
    <row r="81" spans="1:19" x14ac:dyDescent="0.3">
      <c r="A81" s="7" t="s">
        <v>219</v>
      </c>
      <c r="B81" s="60">
        <v>8.3699999999999992</v>
      </c>
      <c r="C81" s="60">
        <v>2</v>
      </c>
      <c r="D81" s="60">
        <v>77.400000000000006</v>
      </c>
      <c r="E81" s="60">
        <v>0.93600000000000005</v>
      </c>
      <c r="F81" s="60">
        <v>36.9</v>
      </c>
      <c r="J81" s="26"/>
      <c r="K81" s="86" t="s">
        <v>28</v>
      </c>
      <c r="L81" s="86">
        <v>0.83729323379351983</v>
      </c>
    </row>
    <row r="82" spans="1:19" x14ac:dyDescent="0.3">
      <c r="A82" s="7" t="s">
        <v>118</v>
      </c>
      <c r="B82" s="60">
        <v>7.82</v>
      </c>
      <c r="C82" s="60">
        <v>4.7</v>
      </c>
      <c r="D82" s="60">
        <v>77.599999999999994</v>
      </c>
      <c r="E82" s="60">
        <v>0.93</v>
      </c>
      <c r="F82" s="60">
        <v>36.6</v>
      </c>
      <c r="J82" s="26"/>
      <c r="K82" s="86" t="s">
        <v>29</v>
      </c>
      <c r="L82" s="86">
        <v>1.0411800199791668</v>
      </c>
    </row>
    <row r="83" spans="1:19" ht="19.5" thickBot="1" x14ac:dyDescent="0.35">
      <c r="A83" s="7" t="s">
        <v>121</v>
      </c>
      <c r="B83" s="60">
        <v>6.8</v>
      </c>
      <c r="C83" s="60">
        <v>5.4</v>
      </c>
      <c r="D83" s="60">
        <v>77.5</v>
      </c>
      <c r="E83" s="60">
        <v>0.91200000000000003</v>
      </c>
      <c r="F83" s="60">
        <v>41</v>
      </c>
      <c r="J83" s="26"/>
      <c r="K83" s="96" t="s">
        <v>30</v>
      </c>
      <c r="L83" s="96">
        <v>15</v>
      </c>
    </row>
    <row r="84" spans="1:19" x14ac:dyDescent="0.3">
      <c r="A84" s="7" t="s">
        <v>120</v>
      </c>
      <c r="B84" s="60">
        <v>9.06</v>
      </c>
      <c r="C84" s="60">
        <v>2.4</v>
      </c>
      <c r="D84" s="60">
        <v>77.400000000000006</v>
      </c>
      <c r="E84" s="60">
        <v>0.95</v>
      </c>
      <c r="F84" s="60">
        <v>40.200000000000003</v>
      </c>
      <c r="J84" s="26"/>
    </row>
    <row r="85" spans="1:19" ht="19.5" thickBot="1" x14ac:dyDescent="0.35">
      <c r="A85" s="7" t="s">
        <v>220</v>
      </c>
      <c r="B85" s="60">
        <v>2.5099999999999998</v>
      </c>
      <c r="C85" s="60">
        <v>17.100000000000001</v>
      </c>
      <c r="D85" s="60">
        <v>68.5</v>
      </c>
      <c r="E85" s="60">
        <v>0.59399999999999997</v>
      </c>
      <c r="F85" s="60">
        <v>41.8</v>
      </c>
      <c r="J85" s="26"/>
      <c r="K85" s="86" t="s">
        <v>31</v>
      </c>
    </row>
    <row r="86" spans="1:19" x14ac:dyDescent="0.3">
      <c r="A86" s="7" t="s">
        <v>105</v>
      </c>
      <c r="B86" s="60">
        <v>9.2799999999999994</v>
      </c>
      <c r="C86" s="60">
        <v>2.5</v>
      </c>
      <c r="D86" s="60">
        <v>76.900000000000006</v>
      </c>
      <c r="E86" s="60">
        <v>0.93200000000000005</v>
      </c>
      <c r="F86" s="60">
        <v>36.700000000000003</v>
      </c>
      <c r="J86" s="26"/>
      <c r="K86" s="97"/>
      <c r="L86" s="97" t="s">
        <v>36</v>
      </c>
      <c r="M86" s="97" t="s">
        <v>37</v>
      </c>
      <c r="N86" s="97" t="s">
        <v>38</v>
      </c>
      <c r="O86" s="97" t="s">
        <v>39</v>
      </c>
      <c r="P86" s="97" t="s">
        <v>40</v>
      </c>
    </row>
    <row r="87" spans="1:19" x14ac:dyDescent="0.3">
      <c r="A87" s="7" t="s">
        <v>221</v>
      </c>
      <c r="B87" s="60">
        <v>0.82</v>
      </c>
      <c r="C87" s="60">
        <v>231</v>
      </c>
      <c r="D87" s="60">
        <v>67.599999999999994</v>
      </c>
      <c r="E87" s="60">
        <v>0.84899999999999998</v>
      </c>
      <c r="F87" s="60">
        <v>65.3</v>
      </c>
      <c r="J87" s="26"/>
      <c r="K87" s="86" t="s">
        <v>32</v>
      </c>
      <c r="L87" s="86">
        <v>4</v>
      </c>
      <c r="M87" s="86">
        <v>82.436334993295148</v>
      </c>
      <c r="N87" s="86">
        <v>20.609083748323787</v>
      </c>
      <c r="O87" s="86">
        <v>19.011090666987911</v>
      </c>
      <c r="P87" s="86">
        <v>1.1489453697059998E-4</v>
      </c>
    </row>
    <row r="88" spans="1:19" x14ac:dyDescent="0.3">
      <c r="A88" s="7" t="s">
        <v>126</v>
      </c>
      <c r="B88" s="60">
        <v>7.89</v>
      </c>
      <c r="C88" s="60">
        <v>2.9</v>
      </c>
      <c r="D88" s="60">
        <v>76</v>
      </c>
      <c r="E88" s="60">
        <v>0.93700000000000006</v>
      </c>
      <c r="F88" s="60">
        <v>41.9</v>
      </c>
      <c r="J88" s="26"/>
      <c r="K88" s="86" t="s">
        <v>33</v>
      </c>
      <c r="L88" s="86">
        <v>10</v>
      </c>
      <c r="M88" s="86">
        <v>10.840558340038182</v>
      </c>
      <c r="N88" s="86">
        <v>1.0840558340038182</v>
      </c>
    </row>
    <row r="89" spans="1:19" ht="19.5" thickBot="1" x14ac:dyDescent="0.35">
      <c r="A89" s="7" t="s">
        <v>123</v>
      </c>
      <c r="B89" s="60">
        <v>8</v>
      </c>
      <c r="C89" s="60">
        <v>1.9</v>
      </c>
      <c r="D89" s="60">
        <v>76.900000000000006</v>
      </c>
      <c r="E89" s="60">
        <v>0.93</v>
      </c>
      <c r="F89" s="60">
        <v>41.9</v>
      </c>
      <c r="J89" s="26"/>
      <c r="K89" s="96" t="s">
        <v>34</v>
      </c>
      <c r="L89" s="96">
        <v>14</v>
      </c>
      <c r="M89" s="96">
        <v>93.276893333333334</v>
      </c>
      <c r="N89" s="96"/>
      <c r="O89" s="96"/>
      <c r="P89" s="96"/>
    </row>
    <row r="90" spans="1:19" ht="19.5" thickBot="1" x14ac:dyDescent="0.35">
      <c r="A90" s="7" t="s">
        <v>110</v>
      </c>
      <c r="B90" s="60">
        <v>9</v>
      </c>
      <c r="C90" s="60">
        <v>1.8</v>
      </c>
      <c r="D90" s="60">
        <v>78</v>
      </c>
      <c r="E90" s="60">
        <v>0.92500000000000004</v>
      </c>
      <c r="F90" s="60">
        <v>44.8</v>
      </c>
      <c r="J90" s="26"/>
    </row>
    <row r="91" spans="1:19" x14ac:dyDescent="0.3">
      <c r="A91" s="7" t="s">
        <v>125</v>
      </c>
      <c r="B91" s="60">
        <v>5.43</v>
      </c>
      <c r="C91" s="60">
        <v>0</v>
      </c>
      <c r="D91" s="60">
        <v>79.5</v>
      </c>
      <c r="E91" s="60">
        <v>0.93700000000000006</v>
      </c>
      <c r="F91" s="60">
        <v>37.5</v>
      </c>
      <c r="J91" s="26"/>
      <c r="K91" s="97"/>
      <c r="L91" s="97" t="s">
        <v>41</v>
      </c>
      <c r="M91" s="97" t="s">
        <v>29</v>
      </c>
      <c r="N91" s="97" t="s">
        <v>42</v>
      </c>
      <c r="O91" s="97" t="s">
        <v>43</v>
      </c>
      <c r="P91" s="97" t="s">
        <v>44</v>
      </c>
      <c r="Q91" s="97" t="s">
        <v>45</v>
      </c>
      <c r="R91" s="97" t="s">
        <v>46</v>
      </c>
      <c r="S91" s="97" t="s">
        <v>47</v>
      </c>
    </row>
    <row r="92" spans="1:19" x14ac:dyDescent="0.3">
      <c r="K92" s="86" t="s">
        <v>35</v>
      </c>
      <c r="L92" s="86">
        <v>26.829534537879386</v>
      </c>
      <c r="M92" s="86">
        <v>18.329430161899051</v>
      </c>
      <c r="N92" s="86">
        <v>1.4637407874058899</v>
      </c>
      <c r="O92" s="86">
        <v>0.1739776258729088</v>
      </c>
      <c r="P92" s="86">
        <v>-14.010980940616957</v>
      </c>
      <c r="Q92" s="86">
        <v>67.670050016375725</v>
      </c>
      <c r="R92" s="86">
        <v>-14.010980940616957</v>
      </c>
      <c r="S92" s="86">
        <v>67.670050016375725</v>
      </c>
    </row>
    <row r="93" spans="1:19" x14ac:dyDescent="0.3">
      <c r="K93" s="86" t="s">
        <v>222</v>
      </c>
      <c r="L93" s="86">
        <v>-3.0957958011663716E-2</v>
      </c>
      <c r="M93" s="86">
        <v>8.3731813690014877E-3</v>
      </c>
      <c r="N93" s="86">
        <v>-3.697275461663085</v>
      </c>
      <c r="O93" s="86">
        <v>4.1270023930268553E-3</v>
      </c>
      <c r="P93" s="86">
        <v>-4.961456873466355E-2</v>
      </c>
      <c r="Q93" s="86">
        <v>-1.2301347288663878E-2</v>
      </c>
      <c r="R93" s="86">
        <v>-4.961456873466355E-2</v>
      </c>
      <c r="S93" s="86">
        <v>-1.2301347288663878E-2</v>
      </c>
    </row>
    <row r="94" spans="1:19" x14ac:dyDescent="0.3">
      <c r="K94" s="86" t="s">
        <v>223</v>
      </c>
      <c r="L94" s="86">
        <v>-0.52254630141182157</v>
      </c>
      <c r="M94" s="86">
        <v>0.28216904283610278</v>
      </c>
      <c r="N94" s="86">
        <v>-1.8518909663500589</v>
      </c>
      <c r="O94" s="86">
        <v>9.3753992730030239E-2</v>
      </c>
      <c r="P94" s="86">
        <v>-1.1512581085827214</v>
      </c>
      <c r="Q94" s="86">
        <v>0.10616550575907835</v>
      </c>
      <c r="R94" s="86">
        <v>-1.1512581085827214</v>
      </c>
      <c r="S94" s="86">
        <v>0.10616550575907835</v>
      </c>
    </row>
    <row r="95" spans="1:19" x14ac:dyDescent="0.3">
      <c r="K95" s="86" t="s">
        <v>224</v>
      </c>
      <c r="L95" s="86">
        <v>28.24067237555181</v>
      </c>
      <c r="M95" s="86">
        <v>7.6583152719708538</v>
      </c>
      <c r="N95" s="86">
        <v>3.6875828916199898</v>
      </c>
      <c r="O95" s="86">
        <v>4.1935429674047594E-3</v>
      </c>
      <c r="P95" s="86">
        <v>11.176882577313719</v>
      </c>
      <c r="Q95" s="86">
        <v>45.304462173789901</v>
      </c>
      <c r="R95" s="86">
        <v>11.176882577313719</v>
      </c>
      <c r="S95" s="86">
        <v>45.304462173789901</v>
      </c>
    </row>
    <row r="96" spans="1:19" ht="19.5" thickBot="1" x14ac:dyDescent="0.35">
      <c r="K96" s="96" t="s">
        <v>225</v>
      </c>
      <c r="L96" s="96">
        <v>-0.11685972749256249</v>
      </c>
      <c r="M96" s="96">
        <v>8.2356643929542811E-2</v>
      </c>
      <c r="N96" s="102">
        <v>-1.4189471779901268</v>
      </c>
      <c r="O96" s="102">
        <v>0.18632257216350398</v>
      </c>
      <c r="P96" s="96">
        <v>-0.30036176555117639</v>
      </c>
      <c r="Q96" s="96">
        <v>6.664231056605141E-2</v>
      </c>
      <c r="R96" s="96">
        <v>-0.30036176555117639</v>
      </c>
      <c r="S96" s="96">
        <v>6.664231056605141E-2</v>
      </c>
    </row>
    <row r="98" spans="1:16" x14ac:dyDescent="0.3">
      <c r="A98" s="125" t="s">
        <v>230</v>
      </c>
      <c r="B98" s="125"/>
      <c r="C98" s="125"/>
      <c r="D98" s="125"/>
      <c r="E98" s="125"/>
    </row>
    <row r="99" spans="1:16" x14ac:dyDescent="0.3">
      <c r="A99" s="7" t="s">
        <v>92</v>
      </c>
      <c r="B99" s="7" t="s">
        <v>17</v>
      </c>
      <c r="C99" s="7" t="s">
        <v>135</v>
      </c>
      <c r="D99" s="7" t="s">
        <v>136</v>
      </c>
      <c r="E99" s="100" t="s">
        <v>137</v>
      </c>
      <c r="F99" s="101"/>
      <c r="J99" s="26"/>
      <c r="K99" s="86" t="s">
        <v>24</v>
      </c>
    </row>
    <row r="100" spans="1:16" ht="19.5" thickBot="1" x14ac:dyDescent="0.35">
      <c r="A100" s="7" t="s">
        <v>109</v>
      </c>
      <c r="B100" s="60">
        <v>9.17</v>
      </c>
      <c r="C100" s="60">
        <v>2.2999999999999998</v>
      </c>
      <c r="D100" s="60">
        <v>76.2</v>
      </c>
      <c r="E100" s="60">
        <v>0.92500000000000004</v>
      </c>
      <c r="J100" s="26"/>
    </row>
    <row r="101" spans="1:16" x14ac:dyDescent="0.3">
      <c r="A101" s="7" t="s">
        <v>122</v>
      </c>
      <c r="B101" s="60">
        <v>6.85</v>
      </c>
      <c r="C101" s="60">
        <v>3.3</v>
      </c>
      <c r="D101" s="60">
        <v>76.2</v>
      </c>
      <c r="E101" s="60">
        <v>0.91600000000000004</v>
      </c>
      <c r="J101" s="26"/>
      <c r="K101" s="95" t="s">
        <v>25</v>
      </c>
      <c r="L101" s="95"/>
    </row>
    <row r="102" spans="1:16" x14ac:dyDescent="0.3">
      <c r="A102" s="7" t="s">
        <v>119</v>
      </c>
      <c r="B102" s="60">
        <v>4.3</v>
      </c>
      <c r="C102" s="60">
        <v>73.8</v>
      </c>
      <c r="D102" s="60">
        <v>66.3</v>
      </c>
      <c r="E102" s="60">
        <v>0.80400000000000005</v>
      </c>
      <c r="J102" s="26"/>
      <c r="K102" s="86" t="s">
        <v>26</v>
      </c>
      <c r="L102" s="86">
        <v>0.92756735334184082</v>
      </c>
    </row>
    <row r="103" spans="1:16" x14ac:dyDescent="0.3">
      <c r="A103" s="7" t="s">
        <v>218</v>
      </c>
      <c r="B103" s="60">
        <v>8.64</v>
      </c>
      <c r="C103" s="60">
        <v>2</v>
      </c>
      <c r="D103" s="60">
        <v>76</v>
      </c>
      <c r="E103" s="60">
        <v>0.92100000000000004</v>
      </c>
      <c r="J103" s="26"/>
      <c r="K103" s="86" t="s">
        <v>27</v>
      </c>
      <c r="L103" s="86">
        <v>0.86038119498558741</v>
      </c>
    </row>
    <row r="104" spans="1:16" x14ac:dyDescent="0.3">
      <c r="A104" s="7" t="s">
        <v>219</v>
      </c>
      <c r="B104" s="60">
        <v>8.3699999999999992</v>
      </c>
      <c r="C104" s="60">
        <v>2</v>
      </c>
      <c r="D104" s="60">
        <v>77.400000000000006</v>
      </c>
      <c r="E104" s="60">
        <v>0.93600000000000005</v>
      </c>
      <c r="J104" s="26"/>
      <c r="K104" s="86" t="s">
        <v>28</v>
      </c>
      <c r="L104" s="86">
        <v>0.82230333907256581</v>
      </c>
    </row>
    <row r="105" spans="1:16" x14ac:dyDescent="0.3">
      <c r="A105" s="7" t="s">
        <v>118</v>
      </c>
      <c r="B105" s="60">
        <v>7.82</v>
      </c>
      <c r="C105" s="60">
        <v>4.7</v>
      </c>
      <c r="D105" s="60">
        <v>77.599999999999994</v>
      </c>
      <c r="E105" s="60">
        <v>0.93</v>
      </c>
      <c r="J105" s="26"/>
      <c r="K105" s="86" t="s">
        <v>29</v>
      </c>
      <c r="L105" s="86">
        <v>1.0880845715232732</v>
      </c>
    </row>
    <row r="106" spans="1:16" ht="19.5" thickBot="1" x14ac:dyDescent="0.35">
      <c r="A106" s="7" t="s">
        <v>121</v>
      </c>
      <c r="B106" s="60">
        <v>6.8</v>
      </c>
      <c r="C106" s="60">
        <v>5.4</v>
      </c>
      <c r="D106" s="60">
        <v>77.5</v>
      </c>
      <c r="E106" s="60">
        <v>0.91200000000000003</v>
      </c>
      <c r="J106" s="26"/>
      <c r="K106" s="96" t="s">
        <v>30</v>
      </c>
      <c r="L106" s="96">
        <v>15</v>
      </c>
    </row>
    <row r="107" spans="1:16" x14ac:dyDescent="0.3">
      <c r="A107" s="7" t="s">
        <v>120</v>
      </c>
      <c r="B107" s="60">
        <v>9.06</v>
      </c>
      <c r="C107" s="60">
        <v>2.4</v>
      </c>
      <c r="D107" s="60">
        <v>77.400000000000006</v>
      </c>
      <c r="E107" s="60">
        <v>0.95</v>
      </c>
      <c r="J107" s="26"/>
    </row>
    <row r="108" spans="1:16" ht="19.5" thickBot="1" x14ac:dyDescent="0.35">
      <c r="A108" s="7" t="s">
        <v>220</v>
      </c>
      <c r="B108" s="60">
        <v>2.5099999999999998</v>
      </c>
      <c r="C108" s="60">
        <v>17.100000000000001</v>
      </c>
      <c r="D108" s="60">
        <v>68.5</v>
      </c>
      <c r="E108" s="60">
        <v>0.59399999999999997</v>
      </c>
      <c r="J108" s="26"/>
      <c r="K108" s="86" t="s">
        <v>31</v>
      </c>
    </row>
    <row r="109" spans="1:16" x14ac:dyDescent="0.3">
      <c r="A109" s="7" t="s">
        <v>105</v>
      </c>
      <c r="B109" s="60">
        <v>9.2799999999999994</v>
      </c>
      <c r="C109" s="60">
        <v>2.5</v>
      </c>
      <c r="D109" s="60">
        <v>76.900000000000006</v>
      </c>
      <c r="E109" s="60">
        <v>0.93200000000000005</v>
      </c>
      <c r="J109" s="26"/>
      <c r="K109" s="97"/>
      <c r="L109" s="97" t="s">
        <v>36</v>
      </c>
      <c r="M109" s="97" t="s">
        <v>37</v>
      </c>
      <c r="N109" s="97" t="s">
        <v>38</v>
      </c>
      <c r="O109" s="97" t="s">
        <v>39</v>
      </c>
      <c r="P109" s="97" t="s">
        <v>40</v>
      </c>
    </row>
    <row r="110" spans="1:16" x14ac:dyDescent="0.3">
      <c r="A110" s="7" t="s">
        <v>221</v>
      </c>
      <c r="B110" s="60">
        <v>0.82</v>
      </c>
      <c r="C110" s="60">
        <v>231</v>
      </c>
      <c r="D110" s="60">
        <v>67.599999999999994</v>
      </c>
      <c r="E110" s="60">
        <v>0.84899999999999998</v>
      </c>
      <c r="J110" s="26"/>
      <c r="K110" s="86" t="s">
        <v>32</v>
      </c>
      <c r="L110" s="86">
        <v>3</v>
      </c>
      <c r="M110" s="86">
        <v>80.253684950676501</v>
      </c>
      <c r="N110" s="86">
        <v>26.751228316892167</v>
      </c>
      <c r="O110" s="86">
        <v>22.59531621084157</v>
      </c>
      <c r="P110" s="86">
        <v>5.253350571991574E-5</v>
      </c>
    </row>
    <row r="111" spans="1:16" x14ac:dyDescent="0.3">
      <c r="A111" s="7" t="s">
        <v>126</v>
      </c>
      <c r="B111" s="60">
        <v>7.89</v>
      </c>
      <c r="C111" s="60">
        <v>2.9</v>
      </c>
      <c r="D111" s="60">
        <v>76</v>
      </c>
      <c r="E111" s="60">
        <v>0.93700000000000006</v>
      </c>
      <c r="J111" s="26"/>
      <c r="K111" s="86" t="s">
        <v>33</v>
      </c>
      <c r="L111" s="86">
        <v>11</v>
      </c>
      <c r="M111" s="86">
        <v>13.023208382656836</v>
      </c>
      <c r="N111" s="86">
        <v>1.1839280347869852</v>
      </c>
    </row>
    <row r="112" spans="1:16" ht="19.5" thickBot="1" x14ac:dyDescent="0.35">
      <c r="A112" s="7" t="s">
        <v>123</v>
      </c>
      <c r="B112" s="60">
        <v>8</v>
      </c>
      <c r="C112" s="60">
        <v>1.9</v>
      </c>
      <c r="D112" s="60">
        <v>76.900000000000006</v>
      </c>
      <c r="E112" s="60">
        <v>0.93</v>
      </c>
      <c r="J112" s="26"/>
      <c r="K112" s="96" t="s">
        <v>34</v>
      </c>
      <c r="L112" s="96">
        <v>14</v>
      </c>
      <c r="M112" s="96">
        <v>93.276893333333334</v>
      </c>
      <c r="N112" s="96"/>
      <c r="O112" s="96"/>
      <c r="P112" s="96"/>
    </row>
    <row r="113" spans="1:19" ht="19.5" thickBot="1" x14ac:dyDescent="0.35">
      <c r="A113" s="7" t="s">
        <v>110</v>
      </c>
      <c r="B113" s="60">
        <v>9</v>
      </c>
      <c r="C113" s="60">
        <v>1.8</v>
      </c>
      <c r="D113" s="60">
        <v>78</v>
      </c>
      <c r="E113" s="60">
        <v>0.92500000000000004</v>
      </c>
      <c r="J113" s="26"/>
    </row>
    <row r="114" spans="1:19" x14ac:dyDescent="0.3">
      <c r="A114" s="7" t="s">
        <v>125</v>
      </c>
      <c r="B114" s="60">
        <v>5.43</v>
      </c>
      <c r="C114" s="60">
        <v>0</v>
      </c>
      <c r="D114" s="60">
        <v>79.5</v>
      </c>
      <c r="E114" s="60">
        <v>0.93700000000000006</v>
      </c>
      <c r="J114" s="26"/>
      <c r="K114" s="97"/>
      <c r="L114" s="97" t="s">
        <v>41</v>
      </c>
      <c r="M114" s="97" t="s">
        <v>29</v>
      </c>
      <c r="N114" s="97" t="s">
        <v>42</v>
      </c>
      <c r="O114" s="97" t="s">
        <v>43</v>
      </c>
      <c r="P114" s="97" t="s">
        <v>44</v>
      </c>
      <c r="Q114" s="97" t="s">
        <v>45</v>
      </c>
      <c r="R114" s="97" t="s">
        <v>46</v>
      </c>
      <c r="S114" s="97" t="s">
        <v>47</v>
      </c>
    </row>
    <row r="115" spans="1:19" x14ac:dyDescent="0.3">
      <c r="K115" s="86" t="s">
        <v>35</v>
      </c>
      <c r="L115" s="86">
        <v>4.5719197357548254</v>
      </c>
      <c r="M115" s="86">
        <v>9.9096480596909107</v>
      </c>
      <c r="N115" s="86">
        <v>0.46136045480281435</v>
      </c>
      <c r="O115" s="86">
        <v>0.65352904610787077</v>
      </c>
      <c r="P115" s="86">
        <v>-17.239068585355767</v>
      </c>
      <c r="Q115" s="86">
        <v>26.382908056865418</v>
      </c>
      <c r="R115" s="86">
        <v>-17.239068585355767</v>
      </c>
      <c r="S115" s="86">
        <v>26.382908056865418</v>
      </c>
    </row>
    <row r="116" spans="1:19" x14ac:dyDescent="0.3">
      <c r="K116" s="86" t="s">
        <v>222</v>
      </c>
      <c r="L116" s="86">
        <v>-3.3859561947091797E-2</v>
      </c>
      <c r="M116" s="86">
        <v>8.4854250255026811E-3</v>
      </c>
      <c r="N116" s="86">
        <v>-3.9903200894861408</v>
      </c>
      <c r="O116" s="86">
        <v>2.1210169380754718E-3</v>
      </c>
      <c r="P116" s="86">
        <v>-5.253585650529341E-2</v>
      </c>
      <c r="Q116" s="86">
        <v>-1.5183267388890184E-2</v>
      </c>
      <c r="R116" s="86">
        <v>-5.253585650529341E-2</v>
      </c>
      <c r="S116" s="86">
        <v>-1.5183267388890184E-2</v>
      </c>
    </row>
    <row r="117" spans="1:19" x14ac:dyDescent="0.3">
      <c r="K117" s="86" t="s">
        <v>223</v>
      </c>
      <c r="L117" s="86">
        <v>-0.20984261686672365</v>
      </c>
      <c r="M117" s="86">
        <v>0.18415785389238343</v>
      </c>
      <c r="N117" s="98">
        <v>-1.1394714503425396</v>
      </c>
      <c r="O117" s="98">
        <v>0.2787119751109623</v>
      </c>
      <c r="P117" s="86">
        <v>-0.61517132039818379</v>
      </c>
      <c r="Q117" s="86">
        <v>0.19548608666473646</v>
      </c>
      <c r="R117" s="86">
        <v>-0.61517132039818379</v>
      </c>
      <c r="S117" s="86">
        <v>0.19548608666473646</v>
      </c>
    </row>
    <row r="118" spans="1:19" ht="19.5" thickBot="1" x14ac:dyDescent="0.35">
      <c r="K118" s="96" t="s">
        <v>224</v>
      </c>
      <c r="L118" s="96">
        <v>21.1986480902269</v>
      </c>
      <c r="M118" s="96">
        <v>6.0954155990584091</v>
      </c>
      <c r="N118" s="96">
        <v>3.4778019227272323</v>
      </c>
      <c r="O118" s="96">
        <v>5.1684224768402164E-3</v>
      </c>
      <c r="P118" s="96">
        <v>7.7827288121082585</v>
      </c>
      <c r="Q118" s="96">
        <v>34.61456736834554</v>
      </c>
      <c r="R118" s="96">
        <v>7.7827288121082585</v>
      </c>
      <c r="S118" s="96">
        <v>34.61456736834554</v>
      </c>
    </row>
    <row r="120" spans="1:19" x14ac:dyDescent="0.3">
      <c r="A120" s="125" t="s">
        <v>231</v>
      </c>
      <c r="B120" s="125"/>
      <c r="C120" s="125"/>
      <c r="D120" s="125"/>
      <c r="E120" s="99"/>
    </row>
    <row r="121" spans="1:19" x14ac:dyDescent="0.3">
      <c r="A121" s="7" t="s">
        <v>92</v>
      </c>
      <c r="B121" s="7" t="s">
        <v>17</v>
      </c>
      <c r="C121" s="7" t="s">
        <v>135</v>
      </c>
      <c r="D121" s="100" t="s">
        <v>137</v>
      </c>
      <c r="E121" s="101"/>
      <c r="J121" s="26"/>
      <c r="K121" s="86" t="s">
        <v>24</v>
      </c>
    </row>
    <row r="122" spans="1:19" ht="19.5" thickBot="1" x14ac:dyDescent="0.35">
      <c r="A122" s="7" t="s">
        <v>109</v>
      </c>
      <c r="B122" s="60">
        <v>9.17</v>
      </c>
      <c r="C122" s="60">
        <v>2.2999999999999998</v>
      </c>
      <c r="D122" s="60">
        <v>0.92500000000000004</v>
      </c>
      <c r="J122" s="26"/>
    </row>
    <row r="123" spans="1:19" x14ac:dyDescent="0.3">
      <c r="A123" s="7" t="s">
        <v>122</v>
      </c>
      <c r="B123" s="60">
        <v>6.85</v>
      </c>
      <c r="C123" s="60">
        <v>3.3</v>
      </c>
      <c r="D123" s="60">
        <v>0.91600000000000004</v>
      </c>
      <c r="J123" s="26"/>
      <c r="K123" s="95" t="s">
        <v>25</v>
      </c>
      <c r="L123" s="95"/>
    </row>
    <row r="124" spans="1:19" x14ac:dyDescent="0.3">
      <c r="A124" s="7" t="s">
        <v>119</v>
      </c>
      <c r="B124" s="60">
        <v>4.3</v>
      </c>
      <c r="C124" s="60">
        <v>73.8</v>
      </c>
      <c r="D124" s="60">
        <v>0.80400000000000005</v>
      </c>
      <c r="J124" s="26"/>
      <c r="K124" s="86" t="s">
        <v>26</v>
      </c>
      <c r="L124" s="86">
        <v>0.91864093096641841</v>
      </c>
    </row>
    <row r="125" spans="1:19" x14ac:dyDescent="0.3">
      <c r="A125" s="7" t="s">
        <v>218</v>
      </c>
      <c r="B125" s="60">
        <v>8.64</v>
      </c>
      <c r="C125" s="60">
        <v>2</v>
      </c>
      <c r="D125" s="60">
        <v>0.92100000000000004</v>
      </c>
      <c r="J125" s="26"/>
      <c r="K125" s="86" t="s">
        <v>27</v>
      </c>
      <c r="L125" s="86">
        <v>0.84390116004684801</v>
      </c>
    </row>
    <row r="126" spans="1:19" x14ac:dyDescent="0.3">
      <c r="A126" s="7" t="s">
        <v>219</v>
      </c>
      <c r="B126" s="60">
        <v>8.3699999999999992</v>
      </c>
      <c r="C126" s="60">
        <v>2</v>
      </c>
      <c r="D126" s="60">
        <v>0.93600000000000005</v>
      </c>
      <c r="J126" s="26"/>
      <c r="K126" s="86" t="s">
        <v>28</v>
      </c>
      <c r="L126" s="86">
        <v>0.81788468672132275</v>
      </c>
    </row>
    <row r="127" spans="1:19" x14ac:dyDescent="0.3">
      <c r="A127" s="7" t="s">
        <v>118</v>
      </c>
      <c r="B127" s="60">
        <v>7.82</v>
      </c>
      <c r="C127" s="60">
        <v>4.7</v>
      </c>
      <c r="D127" s="60">
        <v>0.93</v>
      </c>
      <c r="J127" s="26"/>
      <c r="K127" s="86" t="s">
        <v>29</v>
      </c>
      <c r="L127" s="86">
        <v>1.1015298015248016</v>
      </c>
    </row>
    <row r="128" spans="1:19" ht="19.5" thickBot="1" x14ac:dyDescent="0.35">
      <c r="A128" s="7" t="s">
        <v>121</v>
      </c>
      <c r="B128" s="60">
        <v>6.8</v>
      </c>
      <c r="C128" s="60">
        <v>5.4</v>
      </c>
      <c r="D128" s="60">
        <v>0.91200000000000003</v>
      </c>
      <c r="J128" s="26"/>
      <c r="K128" s="96" t="s">
        <v>30</v>
      </c>
      <c r="L128" s="96">
        <v>15</v>
      </c>
    </row>
    <row r="129" spans="1:19" x14ac:dyDescent="0.3">
      <c r="A129" s="7" t="s">
        <v>120</v>
      </c>
      <c r="B129" s="60">
        <v>9.06</v>
      </c>
      <c r="C129" s="60">
        <v>2.4</v>
      </c>
      <c r="D129" s="60">
        <v>0.95</v>
      </c>
      <c r="J129" s="26"/>
    </row>
    <row r="130" spans="1:19" ht="19.5" thickBot="1" x14ac:dyDescent="0.35">
      <c r="A130" s="7" t="s">
        <v>220</v>
      </c>
      <c r="B130" s="60">
        <v>2.5099999999999998</v>
      </c>
      <c r="C130" s="60">
        <v>17.100000000000001</v>
      </c>
      <c r="D130" s="60">
        <v>0.59399999999999997</v>
      </c>
      <c r="J130" s="26"/>
      <c r="K130" s="86" t="s">
        <v>31</v>
      </c>
    </row>
    <row r="131" spans="1:19" x14ac:dyDescent="0.3">
      <c r="A131" s="7" t="s">
        <v>105</v>
      </c>
      <c r="B131" s="60">
        <v>9.2799999999999994</v>
      </c>
      <c r="C131" s="60">
        <v>2.5</v>
      </c>
      <c r="D131" s="60">
        <v>0.93200000000000005</v>
      </c>
      <c r="J131" s="26"/>
      <c r="K131" s="97"/>
      <c r="L131" s="97" t="s">
        <v>36</v>
      </c>
      <c r="M131" s="97" t="s">
        <v>37</v>
      </c>
      <c r="N131" s="97" t="s">
        <v>38</v>
      </c>
      <c r="O131" s="97" t="s">
        <v>39</v>
      </c>
      <c r="P131" s="97" t="s">
        <v>40</v>
      </c>
    </row>
    <row r="132" spans="1:19" x14ac:dyDescent="0.3">
      <c r="A132" s="7" t="s">
        <v>221</v>
      </c>
      <c r="B132" s="60">
        <v>0.82</v>
      </c>
      <c r="C132" s="60">
        <v>231</v>
      </c>
      <c r="D132" s="60">
        <v>0.84899999999999998</v>
      </c>
      <c r="J132" s="26"/>
      <c r="K132" s="86" t="s">
        <v>32</v>
      </c>
      <c r="L132" s="86">
        <v>2</v>
      </c>
      <c r="M132" s="86">
        <v>78.7164784895661</v>
      </c>
      <c r="N132" s="86">
        <v>39.35823924478305</v>
      </c>
      <c r="O132" s="86">
        <v>32.437185066850638</v>
      </c>
      <c r="P132" s="86">
        <v>1.4467651995835624E-5</v>
      </c>
    </row>
    <row r="133" spans="1:19" x14ac:dyDescent="0.3">
      <c r="A133" s="7" t="s">
        <v>126</v>
      </c>
      <c r="B133" s="60">
        <v>7.89</v>
      </c>
      <c r="C133" s="60">
        <v>2.9</v>
      </c>
      <c r="D133" s="60">
        <v>0.93700000000000006</v>
      </c>
      <c r="J133" s="26"/>
      <c r="K133" s="86" t="s">
        <v>33</v>
      </c>
      <c r="L133" s="86">
        <v>12</v>
      </c>
      <c r="M133" s="86">
        <v>14.560414843767227</v>
      </c>
      <c r="N133" s="86">
        <v>1.2133679036472689</v>
      </c>
    </row>
    <row r="134" spans="1:19" ht="19.5" thickBot="1" x14ac:dyDescent="0.35">
      <c r="A134" s="7" t="s">
        <v>123</v>
      </c>
      <c r="B134" s="60">
        <v>8</v>
      </c>
      <c r="C134" s="60">
        <v>1.9</v>
      </c>
      <c r="D134" s="60">
        <v>0.93</v>
      </c>
      <c r="J134" s="26"/>
      <c r="K134" s="96" t="s">
        <v>34</v>
      </c>
      <c r="L134" s="96">
        <v>14</v>
      </c>
      <c r="M134" s="96">
        <v>93.276893333333334</v>
      </c>
      <c r="N134" s="96"/>
      <c r="O134" s="96"/>
      <c r="P134" s="96"/>
    </row>
    <row r="135" spans="1:19" ht="19.5" thickBot="1" x14ac:dyDescent="0.35">
      <c r="A135" s="7" t="s">
        <v>110</v>
      </c>
      <c r="B135" s="60">
        <v>9</v>
      </c>
      <c r="C135" s="60">
        <v>1.8</v>
      </c>
      <c r="D135" s="60">
        <v>0.92500000000000004</v>
      </c>
      <c r="J135" s="26"/>
    </row>
    <row r="136" spans="1:19" x14ac:dyDescent="0.3">
      <c r="A136" s="7" t="s">
        <v>125</v>
      </c>
      <c r="B136" s="60">
        <v>5.43</v>
      </c>
      <c r="C136" s="60">
        <v>0</v>
      </c>
      <c r="D136" s="60">
        <v>0.93700000000000006</v>
      </c>
      <c r="J136" s="26"/>
      <c r="K136" s="97"/>
      <c r="L136" s="97" t="s">
        <v>41</v>
      </c>
      <c r="M136" s="97" t="s">
        <v>29</v>
      </c>
      <c r="N136" s="97" t="s">
        <v>42</v>
      </c>
      <c r="O136" s="97" t="s">
        <v>43</v>
      </c>
      <c r="P136" s="97" t="s">
        <v>44</v>
      </c>
      <c r="Q136" s="97" t="s">
        <v>45</v>
      </c>
      <c r="R136" s="97" t="s">
        <v>46</v>
      </c>
      <c r="S136" s="97" t="s">
        <v>47</v>
      </c>
    </row>
    <row r="137" spans="1:19" x14ac:dyDescent="0.3">
      <c r="K137" s="86" t="s">
        <v>35</v>
      </c>
      <c r="L137" s="103">
        <v>-6.1866040794814294</v>
      </c>
      <c r="M137" s="86">
        <v>3.0464740665723418</v>
      </c>
      <c r="N137" s="86">
        <v>-2.0307424072190186</v>
      </c>
      <c r="O137" s="86">
        <v>6.5043338249688401E-2</v>
      </c>
      <c r="P137" s="86">
        <v>-12.824300860977742</v>
      </c>
      <c r="Q137" s="86">
        <v>0.45109270201488272</v>
      </c>
      <c r="R137" s="86">
        <v>-12.824300860977742</v>
      </c>
      <c r="S137" s="86">
        <v>0.45109270201488272</v>
      </c>
    </row>
    <row r="138" spans="1:19" x14ac:dyDescent="0.3">
      <c r="K138" s="86" t="s">
        <v>222</v>
      </c>
      <c r="L138" s="103">
        <v>-2.6056808076980544E-2</v>
      </c>
      <c r="M138" s="86">
        <v>5.0730591615471832E-3</v>
      </c>
      <c r="N138" s="86">
        <v>-5.1363107046900138</v>
      </c>
      <c r="O138" s="86">
        <v>2.4650611095635496E-4</v>
      </c>
      <c r="P138" s="86">
        <v>-3.7110054463820416E-2</v>
      </c>
      <c r="Q138" s="86">
        <v>-1.5003561690140669E-2</v>
      </c>
      <c r="R138" s="86">
        <v>-3.7110054463820416E-2</v>
      </c>
      <c r="S138" s="86">
        <v>-1.5003561690140669E-2</v>
      </c>
    </row>
    <row r="139" spans="1:19" ht="19.5" thickBot="1" x14ac:dyDescent="0.35">
      <c r="K139" s="96" t="s">
        <v>224</v>
      </c>
      <c r="L139" s="93">
        <v>15.370929998820964</v>
      </c>
      <c r="M139" s="96">
        <v>3.357143067024472</v>
      </c>
      <c r="N139" s="96">
        <v>4.5785746070228219</v>
      </c>
      <c r="O139" s="96">
        <v>6.3399509687002724E-4</v>
      </c>
      <c r="P139" s="96">
        <v>8.0563436133596564</v>
      </c>
      <c r="Q139" s="96">
        <v>22.685516384282273</v>
      </c>
      <c r="R139" s="96">
        <v>8.0563436133596564</v>
      </c>
      <c r="S139" s="96">
        <v>22.685516384282273</v>
      </c>
    </row>
    <row r="142" spans="1:19" x14ac:dyDescent="0.3">
      <c r="K142" s="126" t="s">
        <v>232</v>
      </c>
      <c r="L142" s="126"/>
      <c r="M142" s="126"/>
      <c r="N142" s="126"/>
      <c r="O142" s="126"/>
      <c r="P142" s="126"/>
      <c r="Q142" s="126"/>
      <c r="R142" s="126"/>
      <c r="S142" s="126"/>
    </row>
    <row r="143" spans="1:19" x14ac:dyDescent="0.3">
      <c r="K143" s="127" t="s">
        <v>251</v>
      </c>
      <c r="L143" s="127"/>
      <c r="M143" s="127"/>
      <c r="N143" s="127"/>
      <c r="O143" s="127"/>
      <c r="P143" s="127"/>
      <c r="Q143" s="127"/>
      <c r="R143" s="127"/>
      <c r="S143" s="127"/>
    </row>
  </sheetData>
  <mergeCells count="7">
    <mergeCell ref="A51:G51"/>
    <mergeCell ref="A26:H26"/>
    <mergeCell ref="A120:D120"/>
    <mergeCell ref="K142:S142"/>
    <mergeCell ref="K143:S143"/>
    <mergeCell ref="A98:E98"/>
    <mergeCell ref="A75:F7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DA89-9276-475B-982F-2F66C9E8524F}">
  <dimension ref="A1:T268"/>
  <sheetViews>
    <sheetView zoomScale="102" workbookViewId="0">
      <selection activeCell="K12" sqref="K12"/>
    </sheetView>
  </sheetViews>
  <sheetFormatPr defaultColWidth="14.7109375" defaultRowHeight="15" x14ac:dyDescent="0.25"/>
  <cols>
    <col min="1" max="1" width="14.5703125" bestFit="1" customWidth="1"/>
    <col min="2" max="2" width="8.42578125" bestFit="1" customWidth="1"/>
    <col min="3" max="3" width="8" bestFit="1" customWidth="1"/>
    <col min="4" max="4" width="8.42578125" bestFit="1" customWidth="1"/>
    <col min="5" max="5" width="9.28515625" bestFit="1" customWidth="1"/>
    <col min="6" max="6" width="7.140625" bestFit="1" customWidth="1"/>
    <col min="7" max="8" width="8" bestFit="1" customWidth="1"/>
    <col min="9" max="9" width="7.140625" bestFit="1" customWidth="1"/>
    <col min="12" max="12" width="33.5703125" style="5" bestFit="1" customWidth="1"/>
    <col min="13" max="13" width="21" style="5" bestFit="1" customWidth="1"/>
    <col min="14" max="14" width="29" style="5" bestFit="1" customWidth="1"/>
    <col min="15" max="15" width="19.28515625" style="5" bestFit="1" customWidth="1"/>
    <col min="16" max="16" width="15.140625" style="5" bestFit="1" customWidth="1"/>
    <col min="17" max="17" width="19" style="5" bestFit="1" customWidth="1"/>
    <col min="18" max="18" width="17.28515625" style="5" bestFit="1" customWidth="1"/>
    <col min="19" max="19" width="20.140625" style="5" bestFit="1" customWidth="1"/>
    <col min="20" max="20" width="19.5703125" style="5" bestFit="1" customWidth="1"/>
  </cols>
  <sheetData>
    <row r="1" spans="1:20" ht="19.5" thickBot="1" x14ac:dyDescent="0.35">
      <c r="A1" s="7" t="s">
        <v>92</v>
      </c>
      <c r="B1" s="7" t="s">
        <v>17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K1" s="17"/>
      <c r="L1" s="106" t="s">
        <v>233</v>
      </c>
      <c r="M1" s="106"/>
      <c r="N1" s="106"/>
      <c r="O1" s="106"/>
      <c r="P1" s="106"/>
      <c r="Q1" s="106"/>
      <c r="R1" s="106"/>
      <c r="S1" s="106"/>
      <c r="T1" s="106"/>
    </row>
    <row r="2" spans="1:20" ht="18.75" x14ac:dyDescent="0.3">
      <c r="A2" s="7" t="s">
        <v>109</v>
      </c>
      <c r="B2" s="60">
        <v>9.17</v>
      </c>
      <c r="C2" s="60">
        <v>20.46</v>
      </c>
      <c r="D2" s="60">
        <v>15.99</v>
      </c>
      <c r="E2" s="60">
        <v>2.2999999999999998</v>
      </c>
      <c r="F2" s="60">
        <v>76.2</v>
      </c>
      <c r="G2" s="60">
        <v>0.92500000000000004</v>
      </c>
      <c r="H2" s="60">
        <v>38</v>
      </c>
      <c r="I2" s="60">
        <v>2</v>
      </c>
      <c r="K2" s="17"/>
      <c r="L2" s="105"/>
      <c r="M2" s="105" t="s">
        <v>17</v>
      </c>
      <c r="N2" s="105" t="s">
        <v>133</v>
      </c>
      <c r="O2" s="105" t="s">
        <v>134</v>
      </c>
      <c r="P2" s="105" t="s">
        <v>135</v>
      </c>
      <c r="Q2" s="105" t="s">
        <v>136</v>
      </c>
      <c r="R2" s="105" t="s">
        <v>137</v>
      </c>
      <c r="S2" s="105" t="s">
        <v>138</v>
      </c>
      <c r="T2" s="105" t="s">
        <v>139</v>
      </c>
    </row>
    <row r="3" spans="1:20" ht="18.75" x14ac:dyDescent="0.3">
      <c r="A3" s="7" t="s">
        <v>122</v>
      </c>
      <c r="B3" s="60">
        <v>6.85</v>
      </c>
      <c r="C3" s="60">
        <v>17.920000000000002</v>
      </c>
      <c r="D3" s="60">
        <v>11.98</v>
      </c>
      <c r="E3" s="60">
        <v>3.3</v>
      </c>
      <c r="F3" s="60">
        <v>76.2</v>
      </c>
      <c r="G3" s="60">
        <v>0.91600000000000004</v>
      </c>
      <c r="H3" s="60">
        <v>44.3</v>
      </c>
      <c r="I3" s="60">
        <v>1</v>
      </c>
      <c r="K3" s="17"/>
      <c r="L3" s="26" t="s">
        <v>17</v>
      </c>
      <c r="M3" s="26">
        <v>1</v>
      </c>
      <c r="N3" s="26"/>
      <c r="O3" s="26"/>
      <c r="P3" s="26"/>
      <c r="Q3" s="26"/>
      <c r="R3" s="26"/>
      <c r="S3" s="26"/>
      <c r="T3" s="26"/>
    </row>
    <row r="4" spans="1:20" ht="18.75" x14ac:dyDescent="0.3">
      <c r="A4" s="7" t="s">
        <v>119</v>
      </c>
      <c r="B4" s="60">
        <v>4.3</v>
      </c>
      <c r="C4" s="60">
        <v>5.74</v>
      </c>
      <c r="D4" s="60">
        <v>2.15</v>
      </c>
      <c r="E4" s="60">
        <v>73.8</v>
      </c>
      <c r="F4" s="60">
        <v>66.3</v>
      </c>
      <c r="G4" s="60">
        <v>0.80400000000000005</v>
      </c>
      <c r="H4" s="60">
        <v>67.5</v>
      </c>
      <c r="I4" s="60">
        <v>16.7</v>
      </c>
      <c r="K4" s="17"/>
      <c r="L4" s="26" t="s">
        <v>133</v>
      </c>
      <c r="M4" s="103">
        <v>0.8419076944603967</v>
      </c>
      <c r="N4" s="26">
        <v>1</v>
      </c>
      <c r="O4" s="26"/>
      <c r="P4" s="26"/>
      <c r="Q4" s="26"/>
      <c r="R4" s="26"/>
      <c r="S4" s="26"/>
      <c r="T4" s="26"/>
    </row>
    <row r="5" spans="1:20" ht="18.75" x14ac:dyDescent="0.3">
      <c r="A5" s="7" t="s">
        <v>218</v>
      </c>
      <c r="B5" s="60">
        <v>8.64</v>
      </c>
      <c r="C5" s="60">
        <v>19.940000000000001</v>
      </c>
      <c r="D5" s="60">
        <v>16.71</v>
      </c>
      <c r="E5" s="60">
        <v>2</v>
      </c>
      <c r="F5" s="60">
        <v>76</v>
      </c>
      <c r="G5" s="60">
        <v>0.92100000000000004</v>
      </c>
      <c r="H5" s="60">
        <v>40.299999999999997</v>
      </c>
      <c r="I5" s="60">
        <v>1</v>
      </c>
      <c r="K5" s="17"/>
      <c r="L5" s="26" t="s">
        <v>134</v>
      </c>
      <c r="M5" s="26">
        <v>0.69649886268956374</v>
      </c>
      <c r="N5" s="26">
        <v>0.89542569250897452</v>
      </c>
      <c r="O5" s="26">
        <v>1</v>
      </c>
      <c r="P5" s="26"/>
      <c r="Q5" s="26"/>
      <c r="R5" s="26"/>
      <c r="S5" s="26"/>
      <c r="T5" s="26"/>
    </row>
    <row r="6" spans="1:20" ht="18.75" x14ac:dyDescent="0.3">
      <c r="A6" s="7" t="s">
        <v>219</v>
      </c>
      <c r="B6" s="60">
        <v>8.3699999999999992</v>
      </c>
      <c r="C6" s="60">
        <v>18.07</v>
      </c>
      <c r="D6" s="60">
        <v>15.17</v>
      </c>
      <c r="E6" s="60">
        <v>2</v>
      </c>
      <c r="F6" s="60">
        <v>77.400000000000006</v>
      </c>
      <c r="G6" s="60">
        <v>0.93600000000000005</v>
      </c>
      <c r="H6" s="60">
        <v>36.9</v>
      </c>
      <c r="I6" s="60">
        <v>2</v>
      </c>
      <c r="K6" s="17"/>
      <c r="L6" s="26" t="s">
        <v>135</v>
      </c>
      <c r="M6" s="26">
        <v>-0.75578105389271477</v>
      </c>
      <c r="N6" s="26">
        <v>-0.62428216282048699</v>
      </c>
      <c r="O6" s="26">
        <v>-0.58577613629704883</v>
      </c>
      <c r="P6" s="26">
        <v>1</v>
      </c>
      <c r="Q6" s="26"/>
      <c r="R6" s="26"/>
      <c r="S6" s="26"/>
      <c r="T6" s="26"/>
    </row>
    <row r="7" spans="1:20" ht="18.75" x14ac:dyDescent="0.3">
      <c r="A7" s="7" t="s">
        <v>118</v>
      </c>
      <c r="B7" s="60">
        <v>7.82</v>
      </c>
      <c r="C7" s="60">
        <v>14.29</v>
      </c>
      <c r="D7" s="60">
        <v>8.73</v>
      </c>
      <c r="E7" s="60">
        <v>4.7</v>
      </c>
      <c r="F7" s="60">
        <v>77.599999999999994</v>
      </c>
      <c r="G7" s="60">
        <v>0.93</v>
      </c>
      <c r="H7" s="60">
        <v>36.6</v>
      </c>
      <c r="I7" s="60">
        <v>5</v>
      </c>
      <c r="K7" s="17"/>
      <c r="L7" s="26" t="s">
        <v>136</v>
      </c>
      <c r="M7" s="26">
        <v>0.7960531578835377</v>
      </c>
      <c r="N7" s="26">
        <v>0.874394944579309</v>
      </c>
      <c r="O7" s="26">
        <v>0.83090681856591619</v>
      </c>
      <c r="P7" s="26">
        <v>-0.71020545180867256</v>
      </c>
      <c r="Q7" s="26">
        <v>1</v>
      </c>
      <c r="R7" s="26"/>
      <c r="S7" s="26"/>
      <c r="T7" s="26"/>
    </row>
    <row r="8" spans="1:20" ht="18.75" x14ac:dyDescent="0.3">
      <c r="A8" s="7" t="s">
        <v>121</v>
      </c>
      <c r="B8" s="60">
        <v>6.8</v>
      </c>
      <c r="C8" s="60">
        <v>18.09</v>
      </c>
      <c r="D8" s="60">
        <v>11.57</v>
      </c>
      <c r="E8" s="60">
        <v>5.4</v>
      </c>
      <c r="F8" s="60">
        <v>77.5</v>
      </c>
      <c r="G8" s="60">
        <v>0.91200000000000003</v>
      </c>
      <c r="H8" s="60">
        <v>41</v>
      </c>
      <c r="I8" s="60">
        <v>3</v>
      </c>
      <c r="K8" s="17"/>
      <c r="L8" s="26" t="s">
        <v>137</v>
      </c>
      <c r="M8" s="26">
        <v>0.70761707403513885</v>
      </c>
      <c r="N8" s="26">
        <v>0.81535662253448293</v>
      </c>
      <c r="O8" s="26">
        <v>0.68979779558217991</v>
      </c>
      <c r="P8" s="26">
        <v>-0.27122739533204804</v>
      </c>
      <c r="Q8" s="26">
        <v>0.76117716262319257</v>
      </c>
      <c r="R8" s="26">
        <v>1</v>
      </c>
      <c r="S8" s="26"/>
      <c r="T8" s="26"/>
    </row>
    <row r="9" spans="1:20" ht="18.75" x14ac:dyDescent="0.3">
      <c r="A9" s="7" t="s">
        <v>120</v>
      </c>
      <c r="B9" s="60">
        <v>9.06</v>
      </c>
      <c r="C9" s="60">
        <v>22.32</v>
      </c>
      <c r="D9" s="60">
        <v>11.51</v>
      </c>
      <c r="E9" s="60">
        <v>2.4</v>
      </c>
      <c r="F9" s="60">
        <v>77.400000000000006</v>
      </c>
      <c r="G9" s="60">
        <v>0.95</v>
      </c>
      <c r="H9" s="60">
        <v>40.200000000000003</v>
      </c>
      <c r="I9" s="60">
        <v>2</v>
      </c>
      <c r="K9" s="17"/>
      <c r="L9" s="26" t="s">
        <v>138</v>
      </c>
      <c r="M9" s="26">
        <v>-0.68130983011633328</v>
      </c>
      <c r="N9" s="26">
        <v>-0.63165865570406265</v>
      </c>
      <c r="O9" s="26">
        <v>-0.58178714107234708</v>
      </c>
      <c r="P9" s="26">
        <v>0.81635774605633304</v>
      </c>
      <c r="Q9" s="26">
        <v>-0.82399908907508845</v>
      </c>
      <c r="R9" s="26">
        <v>-0.34488533108720509</v>
      </c>
      <c r="S9" s="26">
        <v>1</v>
      </c>
      <c r="T9" s="26"/>
    </row>
    <row r="10" spans="1:20" ht="19.5" thickBot="1" x14ac:dyDescent="0.35">
      <c r="A10" s="7" t="s">
        <v>220</v>
      </c>
      <c r="B10" s="60">
        <v>2.5099999999999998</v>
      </c>
      <c r="C10" s="60">
        <v>2.52</v>
      </c>
      <c r="D10" s="60">
        <v>0.22</v>
      </c>
      <c r="E10" s="60">
        <v>17.100000000000001</v>
      </c>
      <c r="F10" s="60">
        <v>68.5</v>
      </c>
      <c r="G10" s="60">
        <v>0.59399999999999997</v>
      </c>
      <c r="H10" s="60">
        <v>41.8</v>
      </c>
      <c r="I10" s="60">
        <v>26.7</v>
      </c>
      <c r="K10" s="17"/>
      <c r="L10" s="27" t="s">
        <v>139</v>
      </c>
      <c r="M10" s="27">
        <v>-0.57511244047392751</v>
      </c>
      <c r="N10" s="27">
        <v>-0.78603199087500908</v>
      </c>
      <c r="O10" s="27">
        <v>-0.70259663471446865</v>
      </c>
      <c r="P10" s="27">
        <v>0.11610733044739878</v>
      </c>
      <c r="Q10" s="27">
        <v>-0.71689654252754509</v>
      </c>
      <c r="R10" s="27">
        <v>-0.93973774499432561</v>
      </c>
      <c r="S10" s="27">
        <v>0.31069191753188297</v>
      </c>
      <c r="T10" s="27">
        <v>1</v>
      </c>
    </row>
    <row r="11" spans="1:20" ht="18.75" x14ac:dyDescent="0.3">
      <c r="A11" s="7" t="s">
        <v>105</v>
      </c>
      <c r="B11" s="60">
        <v>9.2799999999999994</v>
      </c>
      <c r="C11" s="60">
        <v>21.61</v>
      </c>
      <c r="D11" s="60">
        <v>16.440000000000001</v>
      </c>
      <c r="E11" s="60">
        <v>2.5</v>
      </c>
      <c r="F11" s="60">
        <v>76.900000000000006</v>
      </c>
      <c r="G11" s="60">
        <v>0.93200000000000005</v>
      </c>
      <c r="H11" s="60">
        <v>36.700000000000003</v>
      </c>
      <c r="I11" s="60">
        <v>0</v>
      </c>
      <c r="K11" s="17"/>
      <c r="L11" s="26"/>
      <c r="M11" s="26"/>
      <c r="N11" s="26"/>
      <c r="O11" s="26"/>
      <c r="P11" s="26"/>
      <c r="Q11" s="26"/>
      <c r="R11" s="26"/>
      <c r="S11" s="26"/>
      <c r="T11" s="26"/>
    </row>
    <row r="12" spans="1:20" ht="18.75" x14ac:dyDescent="0.3">
      <c r="A12" s="7" t="s">
        <v>221</v>
      </c>
      <c r="B12" s="60">
        <v>0.82</v>
      </c>
      <c r="C12" s="60">
        <v>5.26</v>
      </c>
      <c r="D12" s="60">
        <v>1.03</v>
      </c>
      <c r="E12" s="60">
        <v>231</v>
      </c>
      <c r="F12" s="60">
        <v>67.599999999999994</v>
      </c>
      <c r="G12" s="60">
        <v>0.84899999999999998</v>
      </c>
      <c r="H12" s="60">
        <v>65.3</v>
      </c>
      <c r="I12" s="60">
        <v>2</v>
      </c>
      <c r="K12" s="17"/>
      <c r="L12" s="26" t="s">
        <v>24</v>
      </c>
      <c r="M12" s="26"/>
      <c r="N12" s="26"/>
      <c r="O12" s="26"/>
      <c r="P12" s="26"/>
      <c r="Q12" s="26"/>
      <c r="R12" s="26"/>
      <c r="S12" s="26"/>
      <c r="T12" s="26"/>
    </row>
    <row r="13" spans="1:20" ht="19.5" thickBot="1" x14ac:dyDescent="0.35">
      <c r="A13" s="7" t="s">
        <v>126</v>
      </c>
      <c r="B13" s="60">
        <v>7.89</v>
      </c>
      <c r="C13" s="60">
        <v>26.65</v>
      </c>
      <c r="D13" s="60">
        <v>18.79</v>
      </c>
      <c r="E13" s="60">
        <v>2.9</v>
      </c>
      <c r="F13" s="60">
        <v>76</v>
      </c>
      <c r="G13" s="60">
        <v>0.93700000000000006</v>
      </c>
      <c r="H13" s="60">
        <v>41.9</v>
      </c>
      <c r="I13" s="60">
        <v>0.5</v>
      </c>
      <c r="K13" s="17"/>
      <c r="L13" s="26"/>
      <c r="M13" s="26"/>
      <c r="N13" s="26"/>
      <c r="O13" s="26"/>
      <c r="P13" s="26"/>
      <c r="Q13" s="26"/>
      <c r="R13" s="26"/>
      <c r="S13" s="26"/>
      <c r="T13" s="26"/>
    </row>
    <row r="14" spans="1:20" ht="18.75" x14ac:dyDescent="0.3">
      <c r="A14" s="7" t="s">
        <v>123</v>
      </c>
      <c r="B14" s="60">
        <v>8</v>
      </c>
      <c r="C14" s="60">
        <v>19.98</v>
      </c>
      <c r="D14" s="60">
        <v>15.74</v>
      </c>
      <c r="E14" s="60">
        <v>1.9</v>
      </c>
      <c r="F14" s="60">
        <v>76.900000000000006</v>
      </c>
      <c r="G14" s="60">
        <v>0.93</v>
      </c>
      <c r="H14" s="60">
        <v>41.9</v>
      </c>
      <c r="I14" s="60">
        <v>1</v>
      </c>
      <c r="K14" s="17"/>
      <c r="L14" s="104" t="s">
        <v>25</v>
      </c>
      <c r="M14" s="104"/>
      <c r="N14" s="26"/>
      <c r="O14" s="26"/>
      <c r="P14" s="26"/>
      <c r="Q14" s="26"/>
      <c r="R14" s="26"/>
      <c r="S14" s="26"/>
      <c r="T14" s="26"/>
    </row>
    <row r="15" spans="1:20" ht="18.75" x14ac:dyDescent="0.3">
      <c r="A15" s="7" t="s">
        <v>110</v>
      </c>
      <c r="B15" s="60">
        <v>9</v>
      </c>
      <c r="C15" s="60">
        <v>23.48</v>
      </c>
      <c r="D15" s="60">
        <v>25.2</v>
      </c>
      <c r="E15" s="60">
        <v>1.8</v>
      </c>
      <c r="F15" s="60">
        <v>78</v>
      </c>
      <c r="G15" s="60">
        <v>0.92500000000000004</v>
      </c>
      <c r="H15" s="60">
        <v>44.8</v>
      </c>
      <c r="I15" s="60">
        <v>0</v>
      </c>
      <c r="K15" s="17"/>
      <c r="L15" s="26" t="s">
        <v>26</v>
      </c>
      <c r="M15" s="26">
        <v>0.84190769446039682</v>
      </c>
      <c r="N15" s="26"/>
      <c r="O15" s="26"/>
      <c r="P15" s="26"/>
      <c r="Q15" s="26"/>
      <c r="R15" s="26"/>
      <c r="S15" s="26"/>
      <c r="T15" s="26"/>
    </row>
    <row r="16" spans="1:20" ht="18.75" x14ac:dyDescent="0.3">
      <c r="A16" s="7" t="s">
        <v>125</v>
      </c>
      <c r="B16" s="60">
        <v>5.43</v>
      </c>
      <c r="C16" s="60">
        <v>21.62</v>
      </c>
      <c r="D16" s="60">
        <v>24.7</v>
      </c>
      <c r="E16" s="60">
        <v>0</v>
      </c>
      <c r="F16" s="60">
        <v>79.5</v>
      </c>
      <c r="G16" s="60">
        <v>0.93700000000000006</v>
      </c>
      <c r="H16" s="60">
        <v>37.5</v>
      </c>
      <c r="I16" s="60">
        <v>0</v>
      </c>
      <c r="K16" s="17"/>
      <c r="L16" s="26" t="s">
        <v>27</v>
      </c>
      <c r="M16" s="26">
        <v>0.7088085659916209</v>
      </c>
      <c r="N16" s="26"/>
      <c r="O16" s="26"/>
      <c r="P16" s="26"/>
      <c r="Q16" s="26"/>
      <c r="R16" s="26"/>
      <c r="S16" s="26"/>
      <c r="T16" s="26"/>
    </row>
    <row r="17" spans="1:20" ht="18.75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26" t="s">
        <v>28</v>
      </c>
      <c r="M17" s="26">
        <v>0.68640922491405321</v>
      </c>
      <c r="N17" s="26"/>
      <c r="O17" s="26"/>
      <c r="P17" s="26"/>
      <c r="Q17" s="26"/>
      <c r="R17" s="26"/>
      <c r="S17" s="26"/>
      <c r="T17" s="26"/>
    </row>
    <row r="18" spans="1:20" ht="18.75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6" t="s">
        <v>29</v>
      </c>
      <c r="M18" s="26">
        <v>1.4454552737560671</v>
      </c>
      <c r="N18" s="26"/>
      <c r="O18" s="26"/>
      <c r="P18" s="26"/>
      <c r="Q18" s="26"/>
      <c r="R18" s="26"/>
      <c r="S18" s="26"/>
      <c r="T18" s="26"/>
    </row>
    <row r="19" spans="1:20" ht="19.5" thickBot="1" x14ac:dyDescent="0.35">
      <c r="A19" s="7" t="s">
        <v>234</v>
      </c>
      <c r="B19" s="7" t="s">
        <v>157</v>
      </c>
      <c r="C19" s="7" t="s">
        <v>235</v>
      </c>
      <c r="D19" s="7" t="s">
        <v>236</v>
      </c>
      <c r="E19" s="7" t="s">
        <v>237</v>
      </c>
      <c r="F19" s="7" t="s">
        <v>238</v>
      </c>
      <c r="G19" s="7" t="s">
        <v>239</v>
      </c>
      <c r="H19" s="7" t="s">
        <v>240</v>
      </c>
      <c r="I19" s="17"/>
      <c r="J19" s="17"/>
      <c r="L19" s="27" t="s">
        <v>30</v>
      </c>
      <c r="M19" s="27">
        <v>15</v>
      </c>
      <c r="N19" s="26"/>
      <c r="O19" s="26"/>
      <c r="P19" s="26"/>
      <c r="Q19" s="26"/>
      <c r="R19" s="26"/>
      <c r="S19" s="26"/>
      <c r="T19" s="26"/>
    </row>
    <row r="20" spans="1:20" ht="18.75" x14ac:dyDescent="0.3">
      <c r="A20" s="7">
        <v>1</v>
      </c>
      <c r="B20" s="60">
        <f>B2-($M$28+$M$29*C2)</f>
        <v>1.2515984668459597</v>
      </c>
      <c r="C20" s="60">
        <f>D2-($M$36+$M$37*C2)</f>
        <v>-0.1791962098157267</v>
      </c>
      <c r="D20" s="60">
        <f xml:space="preserve"> E2 - ($M$41+$M$42*C2)</f>
        <v>-4.1093306298741625</v>
      </c>
      <c r="E20" s="60">
        <f>F2-($M$46+$M$47*C2)</f>
        <v>-0.64078845540196028</v>
      </c>
      <c r="F20" s="60">
        <f>G2-($M$51+$M$52*C2)</f>
        <v>-2.0096821104396145E-3</v>
      </c>
      <c r="G20" s="60">
        <f>H2-($M$56+$M$57*C2)</f>
        <v>-2.8845730172484423</v>
      </c>
      <c r="H20" s="60">
        <f>I2-($M$61+$M$62*C2)</f>
        <v>0.47915202280094604</v>
      </c>
      <c r="I20" s="17"/>
      <c r="J20" s="17"/>
      <c r="L20" s="26"/>
      <c r="M20" s="26"/>
      <c r="N20" s="26"/>
      <c r="O20" s="26"/>
      <c r="P20" s="26"/>
      <c r="Q20" s="26"/>
      <c r="R20" s="26"/>
      <c r="S20" s="26"/>
      <c r="T20" s="26"/>
    </row>
    <row r="21" spans="1:20" ht="19.5" thickBot="1" x14ac:dyDescent="0.35">
      <c r="A21" s="7">
        <v>2</v>
      </c>
      <c r="B21" s="60">
        <f t="shared" ref="B21:B34" si="0">B3-($M$28+$M$29*C3)</f>
        <v>-0.29856499764497269</v>
      </c>
      <c r="C21" s="60">
        <f t="shared" ref="C21:C34" si="1">D3-($M$36+$M$37*C3)</f>
        <v>-1.7707247982941965</v>
      </c>
      <c r="D21" s="60">
        <f t="shared" ref="D21:D34" si="2" xml:space="preserve"> E3 - ($M$41+$M$42*C3)</f>
        <v>-16.442905767806604</v>
      </c>
      <c r="E21" s="60">
        <f t="shared" ref="E21:E34" si="3">F3-($M$46+$M$47*C3)</f>
        <v>0.63631144553397689</v>
      </c>
      <c r="F21" s="60">
        <f t="shared" ref="F21:F34" si="4">G3-($M$51+$M$52*C3)</f>
        <v>1.5305923372864738E-2</v>
      </c>
      <c r="G21" s="60">
        <f t="shared" ref="G21:G34" si="5">H3-($M$56+$M$57*C3)</f>
        <v>1.2655645099663886</v>
      </c>
      <c r="H21" s="60">
        <f t="shared" ref="H21:H34" si="6">I3-($M$61+$M$62*C3)</f>
        <v>-2.6009642605231775</v>
      </c>
      <c r="I21" s="17"/>
      <c r="J21" s="17"/>
      <c r="L21" s="26" t="s">
        <v>31</v>
      </c>
      <c r="M21" s="26"/>
      <c r="N21" s="26"/>
      <c r="O21" s="26"/>
      <c r="P21" s="26"/>
      <c r="Q21" s="26"/>
      <c r="R21" s="26"/>
      <c r="S21" s="26"/>
      <c r="T21" s="26"/>
    </row>
    <row r="22" spans="1:20" ht="18.75" x14ac:dyDescent="0.3">
      <c r="A22" s="7">
        <v>3</v>
      </c>
      <c r="B22" s="60">
        <f t="shared" si="0"/>
        <v>0.84301334979615028</v>
      </c>
      <c r="C22" s="60">
        <f t="shared" si="1"/>
        <v>-3.4878721791256062E-3</v>
      </c>
      <c r="D22" s="60">
        <f t="shared" si="2"/>
        <v>-9.8810731615142089</v>
      </c>
      <c r="E22" s="60">
        <f t="shared" si="3"/>
        <v>-3.1396425728125479</v>
      </c>
      <c r="F22" s="60">
        <f t="shared" si="4"/>
        <v>2.9496503997528678E-2</v>
      </c>
      <c r="G22" s="60">
        <f t="shared" si="5"/>
        <v>14.156381471177653</v>
      </c>
      <c r="H22" s="60">
        <f t="shared" si="6"/>
        <v>3.1243049005446029</v>
      </c>
      <c r="I22" s="17"/>
      <c r="J22" s="17"/>
      <c r="L22" s="105"/>
      <c r="M22" s="105" t="s">
        <v>36</v>
      </c>
      <c r="N22" s="105" t="s">
        <v>37</v>
      </c>
      <c r="O22" s="105" t="s">
        <v>38</v>
      </c>
      <c r="P22" s="105" t="s">
        <v>39</v>
      </c>
      <c r="Q22" s="105" t="s">
        <v>40</v>
      </c>
      <c r="R22" s="26"/>
      <c r="S22" s="26"/>
      <c r="T22" s="26"/>
    </row>
    <row r="23" spans="1:20" ht="18.75" x14ac:dyDescent="0.3">
      <c r="A23" s="7">
        <v>4</v>
      </c>
      <c r="B23" s="60">
        <f t="shared" si="0"/>
        <v>0.879202796950179</v>
      </c>
      <c r="C23" s="60">
        <f t="shared" si="1"/>
        <v>1.0359239216768685</v>
      </c>
      <c r="D23" s="60">
        <f t="shared" si="2"/>
        <v>-7.1390389258288423</v>
      </c>
      <c r="E23" s="60">
        <f t="shared" si="3"/>
        <v>-0.57933493237570133</v>
      </c>
      <c r="F23" s="60">
        <f t="shared" si="4"/>
        <v>-6.2223531858196512E-4</v>
      </c>
      <c r="G23" s="60">
        <f t="shared" si="5"/>
        <v>-1.0247023423855666</v>
      </c>
      <c r="H23" s="60">
        <f t="shared" si="6"/>
        <v>-0.94669855488745824</v>
      </c>
      <c r="I23" s="17"/>
      <c r="J23" s="17"/>
      <c r="L23" s="26" t="s">
        <v>32</v>
      </c>
      <c r="M23" s="26">
        <v>1</v>
      </c>
      <c r="N23" s="26">
        <v>66.115461003753381</v>
      </c>
      <c r="O23" s="26">
        <v>66.115461003753381</v>
      </c>
      <c r="P23" s="26">
        <v>31.644170403810438</v>
      </c>
      <c r="Q23" s="26">
        <v>8.265367249754853E-5</v>
      </c>
      <c r="R23" s="26"/>
      <c r="S23" s="26"/>
      <c r="T23" s="26"/>
    </row>
    <row r="24" spans="1:20" ht="18.75" x14ac:dyDescent="0.3">
      <c r="A24" s="7">
        <v>5</v>
      </c>
      <c r="B24" s="60">
        <f t="shared" si="0"/>
        <v>1.1759722148249638</v>
      </c>
      <c r="C24" s="60">
        <f t="shared" si="1"/>
        <v>1.2764520868521725</v>
      </c>
      <c r="D24" s="60">
        <f t="shared" si="2"/>
        <v>-16.955489913204303</v>
      </c>
      <c r="E24" s="60">
        <f t="shared" si="3"/>
        <v>1.7608921600456426</v>
      </c>
      <c r="F24" s="60">
        <f t="shared" si="4"/>
        <v>3.3751852182905884E-2</v>
      </c>
      <c r="G24" s="60">
        <f t="shared" si="5"/>
        <v>-6.0074751077825184</v>
      </c>
      <c r="H24" s="60">
        <f t="shared" si="6"/>
        <v>-1.4781227477284471</v>
      </c>
      <c r="I24" s="17"/>
      <c r="J24" s="17"/>
      <c r="L24" s="26" t="s">
        <v>33</v>
      </c>
      <c r="M24" s="26">
        <v>13</v>
      </c>
      <c r="N24" s="26">
        <v>27.161432329579952</v>
      </c>
      <c r="O24" s="26">
        <v>2.0893409484292271</v>
      </c>
      <c r="P24" s="26"/>
      <c r="Q24" s="26"/>
      <c r="R24" s="26"/>
      <c r="S24" s="26"/>
      <c r="T24" s="26"/>
    </row>
    <row r="25" spans="1:20" ht="19.5" thickBot="1" x14ac:dyDescent="0.35">
      <c r="A25" s="7">
        <v>6</v>
      </c>
      <c r="B25" s="60">
        <f t="shared" si="0"/>
        <v>1.7716344605825549</v>
      </c>
      <c r="C25" s="60">
        <f t="shared" si="1"/>
        <v>-1.5644054188362535</v>
      </c>
      <c r="D25" s="60">
        <f t="shared" si="2"/>
        <v>-34.098369449182528</v>
      </c>
      <c r="E25" s="60">
        <f t="shared" si="3"/>
        <v>3.8614581543518796</v>
      </c>
      <c r="F25" s="60">
        <f t="shared" si="4"/>
        <v>6.6914446169870523E-2</v>
      </c>
      <c r="G25" s="60">
        <f t="shared" si="5"/>
        <v>-9.5068767405100587</v>
      </c>
      <c r="H25" s="60">
        <f t="shared" si="6"/>
        <v>-1.5737288701556889</v>
      </c>
      <c r="I25" s="17"/>
      <c r="J25" s="17"/>
      <c r="L25" s="27" t="s">
        <v>34</v>
      </c>
      <c r="M25" s="27">
        <v>14</v>
      </c>
      <c r="N25" s="27">
        <v>93.276893333333334</v>
      </c>
      <c r="O25" s="27"/>
      <c r="P25" s="27"/>
      <c r="Q25" s="27"/>
      <c r="R25" s="26"/>
      <c r="S25" s="26"/>
      <c r="T25" s="26"/>
    </row>
    <row r="26" spans="1:20" ht="19.5" thickBot="1" x14ac:dyDescent="0.35">
      <c r="A26" s="7">
        <v>7</v>
      </c>
      <c r="B26" s="60">
        <f t="shared" si="0"/>
        <v>-0.40008949017904349</v>
      </c>
      <c r="C26" s="60">
        <f t="shared" si="1"/>
        <v>-2.3425909951283117</v>
      </c>
      <c r="D26" s="60">
        <f t="shared" si="2"/>
        <v>-13.450501132590665</v>
      </c>
      <c r="E26" s="60">
        <f t="shared" si="3"/>
        <v>1.8508362553138511</v>
      </c>
      <c r="F26" s="60">
        <f t="shared" si="4"/>
        <v>9.5446426909112647E-3</v>
      </c>
      <c r="G26" s="60">
        <f t="shared" si="5"/>
        <v>-1.8905470568157057</v>
      </c>
      <c r="H26" s="60">
        <f t="shared" si="6"/>
        <v>-0.46174387935581684</v>
      </c>
      <c r="I26" s="17"/>
      <c r="J26" s="17"/>
      <c r="L26" s="26"/>
      <c r="M26" s="26"/>
      <c r="N26" s="26"/>
      <c r="O26" s="26"/>
      <c r="P26" s="26"/>
      <c r="Q26" s="26"/>
      <c r="R26" s="26"/>
      <c r="S26" s="26"/>
      <c r="T26" s="26"/>
    </row>
    <row r="27" spans="1:20" ht="18.75" x14ac:dyDescent="0.3">
      <c r="A27" s="7">
        <v>8</v>
      </c>
      <c r="B27" s="60">
        <f t="shared" si="0"/>
        <v>0.57785990147317712</v>
      </c>
      <c r="C27" s="60">
        <f t="shared" si="1"/>
        <v>-6.4302028340007862</v>
      </c>
      <c r="D27" s="60">
        <f t="shared" si="2"/>
        <v>5.7546259671944799</v>
      </c>
      <c r="E27" s="60">
        <f t="shared" si="3"/>
        <v>-0.375987595457417</v>
      </c>
      <c r="F27" s="60">
        <f t="shared" si="4"/>
        <v>3.7198351340698155E-3</v>
      </c>
      <c r="G27" s="60">
        <f t="shared" si="5"/>
        <v>0.88973572266511525</v>
      </c>
      <c r="H27" s="60">
        <f t="shared" si="6"/>
        <v>2.0023867814556198</v>
      </c>
      <c r="I27" s="17"/>
      <c r="J27" s="17"/>
      <c r="L27" s="105"/>
      <c r="M27" s="105" t="s">
        <v>41</v>
      </c>
      <c r="N27" s="105" t="s">
        <v>29</v>
      </c>
      <c r="O27" s="105" t="s">
        <v>42</v>
      </c>
      <c r="P27" s="105" t="s">
        <v>43</v>
      </c>
      <c r="Q27" s="105" t="s">
        <v>44</v>
      </c>
      <c r="R27" s="105" t="s">
        <v>45</v>
      </c>
      <c r="S27" s="105" t="s">
        <v>46</v>
      </c>
      <c r="T27" s="105" t="s">
        <v>47</v>
      </c>
    </row>
    <row r="28" spans="1:20" ht="18.75" x14ac:dyDescent="0.3">
      <c r="A28" s="7">
        <v>9</v>
      </c>
      <c r="B28" s="60">
        <f t="shared" si="0"/>
        <v>2.8947855441503911E-2</v>
      </c>
      <c r="C28" s="60">
        <f t="shared" si="1"/>
        <v>1.1324483266788812</v>
      </c>
      <c r="D28" s="60">
        <f t="shared" si="2"/>
        <v>-83.484266840310454</v>
      </c>
      <c r="E28" s="60">
        <f t="shared" si="3"/>
        <v>0.67935808900388395</v>
      </c>
      <c r="F28" s="60">
        <f t="shared" si="4"/>
        <v>-0.14714276779135327</v>
      </c>
      <c r="G28" s="60">
        <f t="shared" si="5"/>
        <v>-14.269034734479142</v>
      </c>
      <c r="H28" s="60">
        <f t="shared" si="6"/>
        <v>10.487307092551028</v>
      </c>
      <c r="I28" s="17"/>
      <c r="J28" s="17"/>
      <c r="L28" s="26" t="s">
        <v>216</v>
      </c>
      <c r="M28" s="103">
        <v>1.7172773140534359</v>
      </c>
      <c r="N28" s="26">
        <v>0.99887838955445674</v>
      </c>
      <c r="O28" s="26">
        <v>1.7192055930045862</v>
      </c>
      <c r="P28" s="26">
        <v>0.10928071020688621</v>
      </c>
      <c r="Q28" s="26">
        <v>-0.44066825035804369</v>
      </c>
      <c r="R28" s="26">
        <v>3.8752228784649154</v>
      </c>
      <c r="S28" s="26">
        <v>-0.44066825035804369</v>
      </c>
      <c r="T28" s="26">
        <v>3.8752228784649154</v>
      </c>
    </row>
    <row r="29" spans="1:20" ht="19.5" thickBot="1" x14ac:dyDescent="0.35">
      <c r="A29" s="7">
        <v>10</v>
      </c>
      <c r="B29" s="60">
        <f t="shared" si="0"/>
        <v>1.0130504291154754</v>
      </c>
      <c r="C29" s="60">
        <f t="shared" si="1"/>
        <v>-0.82417342369358337</v>
      </c>
      <c r="D29" s="60">
        <f t="shared" si="2"/>
        <v>2.1275242554102078</v>
      </c>
      <c r="E29" s="60">
        <f t="shared" si="3"/>
        <v>-0.51900297747926061</v>
      </c>
      <c r="F29" s="60">
        <f t="shared" si="4"/>
        <v>-6.924227900124591E-3</v>
      </c>
      <c r="G29" s="60">
        <f t="shared" si="5"/>
        <v>-3.2112100866567204</v>
      </c>
      <c r="H29" s="60">
        <f t="shared" si="6"/>
        <v>-0.57906304577277723</v>
      </c>
      <c r="I29" s="17"/>
      <c r="J29" s="17"/>
      <c r="L29" s="27" t="s">
        <v>214</v>
      </c>
      <c r="M29" s="93">
        <v>0.30308525020042054</v>
      </c>
      <c r="N29" s="27">
        <v>5.3878803721316058E-2</v>
      </c>
      <c r="O29" s="27">
        <v>5.6253151381776316</v>
      </c>
      <c r="P29" s="27">
        <v>8.2653672497548679E-5</v>
      </c>
      <c r="Q29" s="27">
        <v>0.18668717139317847</v>
      </c>
      <c r="R29" s="27">
        <v>0.41948332900766261</v>
      </c>
      <c r="S29" s="27">
        <v>0.18668717139317847</v>
      </c>
      <c r="T29" s="27">
        <v>0.41948332900766261</v>
      </c>
    </row>
    <row r="30" spans="1:20" ht="18.75" x14ac:dyDescent="0.3">
      <c r="A30" s="7">
        <v>11</v>
      </c>
      <c r="B30" s="60">
        <f t="shared" si="0"/>
        <v>-2.4915057301076478</v>
      </c>
      <c r="C30" s="60">
        <f t="shared" si="1"/>
        <v>-0.66645390464749732</v>
      </c>
      <c r="D30" s="60">
        <f t="shared" si="2"/>
        <v>144.79919610375839</v>
      </c>
      <c r="E30" s="60">
        <f t="shared" si="3"/>
        <v>-1.5983008592498607</v>
      </c>
      <c r="F30" s="60">
        <f t="shared" si="4"/>
        <v>7.9469531805397176E-2</v>
      </c>
      <c r="G30" s="60">
        <f t="shared" si="5"/>
        <v>11.550108247974151</v>
      </c>
      <c r="H30" s="60">
        <f t="shared" si="6"/>
        <v>-11.968787940398538</v>
      </c>
      <c r="I30" s="17"/>
      <c r="J30" s="17"/>
      <c r="K30" s="26"/>
      <c r="L30" s="26"/>
      <c r="M30" s="26"/>
      <c r="N30" s="26"/>
      <c r="O30" s="26"/>
      <c r="P30" s="26"/>
      <c r="Q30" s="26"/>
      <c r="R30" s="26"/>
      <c r="S30" s="26"/>
    </row>
    <row r="31" spans="1:20" ht="18.75" x14ac:dyDescent="0.3">
      <c r="A31" s="7">
        <v>12</v>
      </c>
      <c r="B31" s="60">
        <f t="shared" si="0"/>
        <v>-1.9044992318946443</v>
      </c>
      <c r="C31" s="60">
        <f t="shared" si="1"/>
        <v>-3.2730300827756835</v>
      </c>
      <c r="D31" s="60">
        <f t="shared" si="2"/>
        <v>28.984696970047814</v>
      </c>
      <c r="E31" s="60">
        <f t="shared" si="3"/>
        <v>-3.9530909698875973</v>
      </c>
      <c r="F31" s="60">
        <f t="shared" si="4"/>
        <v>-5.4141019882744112E-2</v>
      </c>
      <c r="G31" s="60">
        <f t="shared" si="5"/>
        <v>6.2546587569799854</v>
      </c>
      <c r="H31" s="60">
        <f t="shared" si="6"/>
        <v>4.0484117841302059</v>
      </c>
      <c r="I31" s="17"/>
      <c r="J31" s="17"/>
      <c r="K31" s="26"/>
      <c r="L31" s="26"/>
      <c r="M31" s="26"/>
      <c r="N31" s="26"/>
      <c r="O31" s="26"/>
      <c r="P31" s="26"/>
      <c r="Q31" s="26"/>
      <c r="R31" s="26"/>
      <c r="S31" s="26"/>
    </row>
    <row r="32" spans="1:20" ht="18.75" x14ac:dyDescent="0.3">
      <c r="A32" s="7">
        <v>13</v>
      </c>
      <c r="B32" s="60">
        <f t="shared" si="0"/>
        <v>0.22707938694216168</v>
      </c>
      <c r="C32" s="60">
        <f t="shared" si="1"/>
        <v>2.7837757715902356E-2</v>
      </c>
      <c r="D32" s="60">
        <f t="shared" si="2"/>
        <v>-7.0290613646015654</v>
      </c>
      <c r="E32" s="60">
        <f t="shared" si="3"/>
        <v>0.30055325816073264</v>
      </c>
      <c r="F32" s="60">
        <f t="shared" si="4"/>
        <v>7.9633456974289585E-3</v>
      </c>
      <c r="G32" s="60">
        <f t="shared" si="5"/>
        <v>0.6091537595480645</v>
      </c>
      <c r="H32" s="60">
        <f t="shared" si="6"/>
        <v>-0.91394081814219774</v>
      </c>
      <c r="I32" s="17"/>
      <c r="J32" s="17"/>
      <c r="K32" s="26"/>
      <c r="L32" s="26"/>
      <c r="M32" s="26"/>
      <c r="N32" s="26"/>
      <c r="O32" s="26"/>
      <c r="P32" s="26"/>
      <c r="Q32" s="26"/>
      <c r="R32" s="26"/>
      <c r="S32" s="26"/>
    </row>
    <row r="33" spans="1:20" ht="18.75" x14ac:dyDescent="0.3">
      <c r="A33" s="7">
        <v>14</v>
      </c>
      <c r="B33" s="60">
        <f t="shared" si="0"/>
        <v>0.16628101124068984</v>
      </c>
      <c r="C33" s="60">
        <f t="shared" si="1"/>
        <v>6.1552984111311098</v>
      </c>
      <c r="D33" s="60">
        <f t="shared" si="2"/>
        <v>11.243975242785684</v>
      </c>
      <c r="E33" s="60">
        <f t="shared" si="3"/>
        <v>-0.35923006990060458</v>
      </c>
      <c r="F33" s="60">
        <f t="shared" si="4"/>
        <v>-3.3298315401612433E-2</v>
      </c>
      <c r="G33" s="60">
        <f t="shared" si="5"/>
        <v>6.4715626787402272</v>
      </c>
      <c r="H33" s="60">
        <f t="shared" si="6"/>
        <v>0.95236114706820985</v>
      </c>
      <c r="I33" s="17"/>
      <c r="J33" s="17"/>
      <c r="K33" s="26"/>
      <c r="L33" s="26"/>
      <c r="M33" s="26"/>
      <c r="N33" s="26"/>
      <c r="O33" s="26"/>
      <c r="P33" s="26"/>
      <c r="Q33" s="26"/>
      <c r="R33" s="26"/>
      <c r="S33" s="26"/>
    </row>
    <row r="34" spans="1:20" ht="19.5" thickBot="1" x14ac:dyDescent="0.35">
      <c r="A34" s="7">
        <v>15</v>
      </c>
      <c r="B34" s="60">
        <f t="shared" si="0"/>
        <v>-2.8399804233865282</v>
      </c>
      <c r="C34" s="60">
        <f t="shared" si="1"/>
        <v>7.4263050353161688</v>
      </c>
      <c r="D34" s="60">
        <f t="shared" si="2"/>
        <v>-0.31998135428297303</v>
      </c>
      <c r="E34" s="60">
        <f t="shared" si="3"/>
        <v>2.075969070154855</v>
      </c>
      <c r="F34" s="60">
        <f t="shared" si="4"/>
        <v>-2.0278326461218299E-3</v>
      </c>
      <c r="G34" s="60">
        <f t="shared" si="5"/>
        <v>-2.4027460611733176</v>
      </c>
      <c r="H34" s="60">
        <f t="shared" si="6"/>
        <v>-0.57087361158646033</v>
      </c>
      <c r="I34" s="17"/>
      <c r="J34" s="17"/>
      <c r="L34" s="107" t="s">
        <v>241</v>
      </c>
      <c r="M34" s="26"/>
      <c r="N34" s="26"/>
      <c r="O34" s="26"/>
      <c r="P34" s="26"/>
      <c r="Q34" s="26"/>
      <c r="R34" s="26"/>
      <c r="S34" s="26"/>
    </row>
    <row r="35" spans="1:20" ht="15" customHeight="1" x14ac:dyDescent="0.25">
      <c r="A35" s="128" t="s">
        <v>247</v>
      </c>
      <c r="B35" s="128"/>
      <c r="C35" s="128"/>
      <c r="D35" s="128"/>
      <c r="E35" s="128"/>
      <c r="F35" s="128"/>
      <c r="G35" s="128"/>
      <c r="H35" s="128"/>
      <c r="L35" s="75"/>
      <c r="M35" s="75" t="s">
        <v>41</v>
      </c>
      <c r="N35" s="75" t="s">
        <v>29</v>
      </c>
      <c r="O35" s="75" t="s">
        <v>42</v>
      </c>
      <c r="P35" s="75" t="s">
        <v>43</v>
      </c>
      <c r="Q35" s="75" t="s">
        <v>44</v>
      </c>
      <c r="R35" s="75" t="s">
        <v>45</v>
      </c>
      <c r="S35" s="75" t="s">
        <v>46</v>
      </c>
      <c r="T35" s="75" t="s">
        <v>47</v>
      </c>
    </row>
    <row r="36" spans="1:20" x14ac:dyDescent="0.25">
      <c r="A36" s="129"/>
      <c r="B36" s="129"/>
      <c r="C36" s="129"/>
      <c r="D36" s="129"/>
      <c r="E36" s="129"/>
      <c r="F36" s="129"/>
      <c r="G36" s="129"/>
      <c r="H36" s="129"/>
      <c r="L36" s="5" t="s">
        <v>216</v>
      </c>
      <c r="M36" s="5">
        <v>-3.3118766562199298</v>
      </c>
      <c r="N36" s="5">
        <v>2.4342577813620379</v>
      </c>
      <c r="O36" s="5">
        <v>-1.3605283226687843</v>
      </c>
      <c r="P36" s="5">
        <v>0.19678619205927592</v>
      </c>
      <c r="Q36" s="5">
        <v>-8.5707708688251341</v>
      </c>
      <c r="R36" s="5">
        <v>1.9470175563852745</v>
      </c>
      <c r="S36" s="5">
        <v>-8.5707708688251341</v>
      </c>
      <c r="T36" s="5">
        <v>1.9470175563852745</v>
      </c>
    </row>
    <row r="37" spans="1:20" ht="15.75" thickBot="1" x14ac:dyDescent="0.3">
      <c r="L37" s="12" t="s">
        <v>214</v>
      </c>
      <c r="M37" s="12">
        <v>0.95215409902422565</v>
      </c>
      <c r="N37" s="12">
        <v>0.13130216709122353</v>
      </c>
      <c r="O37" s="12">
        <v>7.2516251644400267</v>
      </c>
      <c r="P37" s="12">
        <v>6.4421779093772898E-6</v>
      </c>
      <c r="Q37" s="12">
        <v>0.66849301271470596</v>
      </c>
      <c r="R37" s="12">
        <v>1.2358151853337453</v>
      </c>
      <c r="S37" s="12">
        <v>0.66849301271470596</v>
      </c>
      <c r="T37" s="12">
        <v>1.2358151853337453</v>
      </c>
    </row>
    <row r="38" spans="1:20" x14ac:dyDescent="0.25">
      <c r="A38" s="130" t="s">
        <v>248</v>
      </c>
      <c r="B38" s="130"/>
      <c r="C38" s="130"/>
      <c r="D38" s="130"/>
      <c r="E38" s="130"/>
      <c r="F38" s="130"/>
    </row>
    <row r="39" spans="1:20" ht="19.5" thickBot="1" x14ac:dyDescent="0.35">
      <c r="A39" s="7" t="s">
        <v>235</v>
      </c>
      <c r="B39" s="7" t="s">
        <v>236</v>
      </c>
      <c r="C39" s="7" t="s">
        <v>237</v>
      </c>
      <c r="D39" s="7" t="s">
        <v>238</v>
      </c>
      <c r="E39" s="7" t="s">
        <v>239</v>
      </c>
      <c r="F39" s="7" t="s">
        <v>240</v>
      </c>
      <c r="L39" s="107" t="s">
        <v>242</v>
      </c>
    </row>
    <row r="40" spans="1:20" x14ac:dyDescent="0.25">
      <c r="A40" s="40">
        <f>CORREL($B$20:$B$34, C20:C34)</f>
        <v>-0.23878461295862932</v>
      </c>
      <c r="B40" s="109">
        <f t="shared" ref="B40:E40" si="7">CORREL($B$20:$B$34, D20:D34)</f>
        <v>-0.54606124497320119</v>
      </c>
      <c r="C40" s="40">
        <f t="shared" si="7"/>
        <v>0.2287467971448772</v>
      </c>
      <c r="D40" s="40">
        <f t="shared" si="7"/>
        <v>6.7736194661178417E-2</v>
      </c>
      <c r="E40" s="40">
        <f t="shared" si="7"/>
        <v>-0.35739259539952145</v>
      </c>
      <c r="F40" s="40">
        <f>CORREL($B$20:$B$34, H20:H34)</f>
        <v>0.25976460849152166</v>
      </c>
      <c r="L40" s="75"/>
      <c r="M40" s="75" t="s">
        <v>41</v>
      </c>
      <c r="N40" s="75" t="s">
        <v>29</v>
      </c>
      <c r="O40" s="75" t="s">
        <v>42</v>
      </c>
      <c r="P40" s="75" t="s">
        <v>43</v>
      </c>
      <c r="Q40" s="75" t="s">
        <v>44</v>
      </c>
      <c r="R40" s="75" t="s">
        <v>45</v>
      </c>
      <c r="S40" s="75" t="s">
        <v>46</v>
      </c>
      <c r="T40" s="75" t="s">
        <v>47</v>
      </c>
    </row>
    <row r="41" spans="1:20" x14ac:dyDescent="0.25">
      <c r="L41" s="5" t="s">
        <v>216</v>
      </c>
      <c r="M41" s="5">
        <v>113.81285319762927</v>
      </c>
      <c r="N41" s="5">
        <v>33.7766528938592</v>
      </c>
      <c r="O41" s="5">
        <v>3.3695716847752291</v>
      </c>
      <c r="P41" s="5">
        <v>5.027914215496092E-3</v>
      </c>
      <c r="Q41" s="5">
        <v>40.842830965512576</v>
      </c>
      <c r="R41" s="5">
        <v>186.78287542974596</v>
      </c>
      <c r="S41" s="5">
        <v>40.842830965512576</v>
      </c>
      <c r="T41" s="5">
        <v>186.78287542974596</v>
      </c>
    </row>
    <row r="42" spans="1:20" ht="15.75" thickBot="1" x14ac:dyDescent="0.3">
      <c r="L42" s="12" t="s">
        <v>214</v>
      </c>
      <c r="M42" s="12">
        <v>-5.2494390306820673</v>
      </c>
      <c r="N42" s="12">
        <v>1.8218891014781009</v>
      </c>
      <c r="O42" s="12">
        <v>-2.8813164458929967</v>
      </c>
      <c r="P42" s="12">
        <v>1.2860872542687642E-2</v>
      </c>
      <c r="Q42" s="12">
        <v>-9.1853911410665177</v>
      </c>
      <c r="R42" s="12">
        <v>-1.3134869202976178</v>
      </c>
      <c r="S42" s="12">
        <v>-9.1853911410665177</v>
      </c>
      <c r="T42" s="12">
        <v>-1.3134869202976178</v>
      </c>
    </row>
    <row r="44" spans="1:20" ht="19.5" thickBot="1" x14ac:dyDescent="0.35">
      <c r="L44" s="107" t="s">
        <v>243</v>
      </c>
    </row>
    <row r="45" spans="1:20" ht="18.75" x14ac:dyDescent="0.25">
      <c r="A45" s="112" t="s">
        <v>133</v>
      </c>
      <c r="B45" s="112" t="s">
        <v>135</v>
      </c>
      <c r="C45" s="110"/>
      <c r="L45" s="75"/>
      <c r="M45" s="75" t="s">
        <v>41</v>
      </c>
      <c r="N45" s="75" t="s">
        <v>29</v>
      </c>
      <c r="O45" s="75" t="s">
        <v>42</v>
      </c>
      <c r="P45" s="75" t="s">
        <v>43</v>
      </c>
      <c r="Q45" s="75" t="s">
        <v>44</v>
      </c>
      <c r="R45" s="75" t="s">
        <v>45</v>
      </c>
      <c r="S45" s="75" t="s">
        <v>46</v>
      </c>
      <c r="T45" s="75" t="s">
        <v>47</v>
      </c>
    </row>
    <row r="46" spans="1:20" ht="18.75" x14ac:dyDescent="0.25">
      <c r="A46" s="65">
        <v>20.46</v>
      </c>
      <c r="B46" s="65">
        <v>2.2999999999999998</v>
      </c>
      <c r="C46" s="111"/>
      <c r="L46" s="5" t="s">
        <v>216</v>
      </c>
      <c r="M46" s="5">
        <v>66.553597914791951</v>
      </c>
      <c r="N46" s="5">
        <v>1.4346323683565221</v>
      </c>
      <c r="O46" s="5">
        <v>46.390698678459373</v>
      </c>
      <c r="P46" s="5">
        <v>7.9029061266291285E-16</v>
      </c>
      <c r="Q46" s="5">
        <v>63.454263112647538</v>
      </c>
      <c r="R46" s="5">
        <v>69.652932716936363</v>
      </c>
      <c r="S46" s="5">
        <v>63.454263112647538</v>
      </c>
      <c r="T46" s="5">
        <v>69.652932716936363</v>
      </c>
    </row>
    <row r="47" spans="1:20" ht="19.5" thickBot="1" x14ac:dyDescent="0.3">
      <c r="A47" s="65">
        <v>17.920000000000002</v>
      </c>
      <c r="B47" s="65">
        <v>3.3</v>
      </c>
      <c r="C47" s="111"/>
      <c r="L47" s="12" t="s">
        <v>214</v>
      </c>
      <c r="M47" s="12">
        <v>0.50279523658895475</v>
      </c>
      <c r="N47" s="12">
        <v>7.7383069445926614E-2</v>
      </c>
      <c r="O47" s="12">
        <v>6.4974837543798349</v>
      </c>
      <c r="P47" s="12">
        <v>2.0114546991689313E-5</v>
      </c>
      <c r="Q47" s="12">
        <v>0.3356192788170913</v>
      </c>
      <c r="R47" s="12">
        <v>0.6699711943608182</v>
      </c>
      <c r="S47" s="12">
        <v>0.3356192788170913</v>
      </c>
      <c r="T47" s="12">
        <v>0.6699711943608182</v>
      </c>
    </row>
    <row r="48" spans="1:20" ht="18.75" x14ac:dyDescent="0.25">
      <c r="A48" s="65">
        <v>5.74</v>
      </c>
      <c r="B48" s="65">
        <v>73.8</v>
      </c>
      <c r="C48" s="111"/>
    </row>
    <row r="49" spans="1:20" ht="19.5" thickBot="1" x14ac:dyDescent="0.35">
      <c r="A49" s="65">
        <v>19.940000000000001</v>
      </c>
      <c r="B49" s="65">
        <v>2</v>
      </c>
      <c r="C49" s="111"/>
      <c r="L49" s="107" t="s">
        <v>244</v>
      </c>
    </row>
    <row r="50" spans="1:20" ht="18.75" x14ac:dyDescent="0.25">
      <c r="A50" s="65">
        <v>18.07</v>
      </c>
      <c r="B50" s="65">
        <v>2</v>
      </c>
      <c r="C50" s="111"/>
      <c r="L50" s="75"/>
      <c r="M50" s="75" t="s">
        <v>41</v>
      </c>
      <c r="N50" s="75" t="s">
        <v>29</v>
      </c>
      <c r="O50" s="75" t="s">
        <v>42</v>
      </c>
      <c r="P50" s="75" t="s">
        <v>43</v>
      </c>
      <c r="Q50" s="75" t="s">
        <v>44</v>
      </c>
      <c r="R50" s="75" t="s">
        <v>45</v>
      </c>
      <c r="S50" s="75" t="s">
        <v>46</v>
      </c>
      <c r="T50" s="75" t="s">
        <v>47</v>
      </c>
    </row>
    <row r="51" spans="1:20" ht="18.75" x14ac:dyDescent="0.25">
      <c r="A51" s="65">
        <v>14.29</v>
      </c>
      <c r="B51" s="65">
        <v>4.7</v>
      </c>
      <c r="C51" s="111"/>
      <c r="L51" s="5" t="s">
        <v>216</v>
      </c>
      <c r="M51" s="5">
        <v>0.71503437180004348</v>
      </c>
      <c r="N51" s="5">
        <v>3.7827086176628354E-2</v>
      </c>
      <c r="O51" s="5">
        <v>18.902708193311248</v>
      </c>
      <c r="P51" s="5">
        <v>7.7317034522278237E-11</v>
      </c>
      <c r="Q51" s="5">
        <v>0.63331392045873858</v>
      </c>
      <c r="R51" s="5">
        <v>0.79675482314134838</v>
      </c>
      <c r="S51" s="5">
        <v>0.63331392045873858</v>
      </c>
      <c r="T51" s="5">
        <v>0.79675482314134838</v>
      </c>
    </row>
    <row r="52" spans="1:20" ht="19.5" thickBot="1" x14ac:dyDescent="0.3">
      <c r="A52" s="65">
        <v>18.09</v>
      </c>
      <c r="B52" s="65">
        <v>5.4</v>
      </c>
      <c r="C52" s="111"/>
      <c r="L52" s="12" t="s">
        <v>214</v>
      </c>
      <c r="M52" s="12">
        <v>1.0360474599726105E-2</v>
      </c>
      <c r="N52" s="12">
        <v>2.0403666480050073E-3</v>
      </c>
      <c r="O52" s="12">
        <v>5.0777513981892337</v>
      </c>
      <c r="P52" s="12">
        <v>2.1185530388681154E-4</v>
      </c>
      <c r="Q52" s="12">
        <v>5.9525304456840358E-3</v>
      </c>
      <c r="R52" s="12">
        <v>1.4768418753768175E-2</v>
      </c>
      <c r="S52" s="12">
        <v>5.9525304456840358E-3</v>
      </c>
      <c r="T52" s="12">
        <v>1.4768418753768175E-2</v>
      </c>
    </row>
    <row r="53" spans="1:20" ht="18.75" x14ac:dyDescent="0.25">
      <c r="A53" s="65">
        <v>22.32</v>
      </c>
      <c r="B53" s="65">
        <v>2.4</v>
      </c>
      <c r="C53" s="111"/>
    </row>
    <row r="54" spans="1:20" ht="19.5" thickBot="1" x14ac:dyDescent="0.35">
      <c r="A54" s="65">
        <v>2.52</v>
      </c>
      <c r="B54" s="65">
        <v>17.100000000000001</v>
      </c>
      <c r="C54" s="111"/>
      <c r="L54" s="107" t="s">
        <v>245</v>
      </c>
    </row>
    <row r="55" spans="1:20" ht="18.75" x14ac:dyDescent="0.25">
      <c r="A55" s="65">
        <v>21.61</v>
      </c>
      <c r="B55" s="65">
        <v>2.5</v>
      </c>
      <c r="C55" s="111"/>
      <c r="L55" s="75"/>
      <c r="M55" s="75" t="s">
        <v>41</v>
      </c>
      <c r="N55" s="75" t="s">
        <v>29</v>
      </c>
      <c r="O55" s="75" t="s">
        <v>42</v>
      </c>
      <c r="P55" s="75" t="s">
        <v>43</v>
      </c>
      <c r="Q55" s="75" t="s">
        <v>44</v>
      </c>
      <c r="R55" s="75" t="s">
        <v>45</v>
      </c>
      <c r="S55" s="75" t="s">
        <v>46</v>
      </c>
      <c r="T55" s="75" t="s">
        <v>47</v>
      </c>
    </row>
    <row r="56" spans="1:20" ht="18.75" x14ac:dyDescent="0.25">
      <c r="A56" s="65">
        <v>5.26</v>
      </c>
      <c r="B56" s="65">
        <v>231</v>
      </c>
      <c r="C56" s="111"/>
      <c r="L56" s="5" t="s">
        <v>216</v>
      </c>
      <c r="M56" s="5">
        <v>58.201969156297501</v>
      </c>
      <c r="N56" s="5">
        <v>5.3414282167344709</v>
      </c>
      <c r="O56" s="5">
        <v>10.896330867829164</v>
      </c>
      <c r="P56" s="5">
        <v>6.5878821091253959E-8</v>
      </c>
      <c r="Q56" s="5">
        <v>46.662515056118401</v>
      </c>
      <c r="R56" s="5">
        <v>69.741423256476594</v>
      </c>
      <c r="S56" s="5">
        <v>46.662515056118401</v>
      </c>
      <c r="T56" s="5">
        <v>69.741423256476594</v>
      </c>
    </row>
    <row r="57" spans="1:20" ht="19.5" thickBot="1" x14ac:dyDescent="0.3">
      <c r="A57" s="65">
        <v>26.65</v>
      </c>
      <c r="B57" s="65">
        <v>2.9</v>
      </c>
      <c r="C57" s="111"/>
      <c r="L57" s="12" t="s">
        <v>214</v>
      </c>
      <c r="M57" s="12">
        <v>-0.8464025483406189</v>
      </c>
      <c r="N57" s="12">
        <v>0.28811291293357799</v>
      </c>
      <c r="O57" s="12">
        <v>-2.9377459681432256</v>
      </c>
      <c r="P57" s="12">
        <v>1.1540377181674907E-2</v>
      </c>
      <c r="Q57" s="12">
        <v>-1.4688326549645143</v>
      </c>
      <c r="R57" s="12">
        <v>-0.22397244171672348</v>
      </c>
      <c r="S57" s="12">
        <v>-1.4688326549645143</v>
      </c>
      <c r="T57" s="12">
        <v>-0.22397244171672348</v>
      </c>
    </row>
    <row r="58" spans="1:20" ht="18.75" x14ac:dyDescent="0.25">
      <c r="A58" s="65">
        <v>19.98</v>
      </c>
      <c r="B58" s="65">
        <v>1.9</v>
      </c>
      <c r="C58" s="111"/>
    </row>
    <row r="59" spans="1:20" ht="19.5" thickBot="1" x14ac:dyDescent="0.35">
      <c r="A59" s="65">
        <v>23.48</v>
      </c>
      <c r="B59" s="65">
        <v>1.8</v>
      </c>
      <c r="C59" s="111"/>
      <c r="L59" s="107" t="s">
        <v>246</v>
      </c>
    </row>
    <row r="60" spans="1:20" ht="18.75" x14ac:dyDescent="0.25">
      <c r="A60" s="65">
        <v>21.62</v>
      </c>
      <c r="B60" s="65">
        <v>0</v>
      </c>
      <c r="C60" s="111"/>
      <c r="L60" s="75"/>
      <c r="M60" s="75" t="s">
        <v>41</v>
      </c>
      <c r="N60" s="75" t="s">
        <v>29</v>
      </c>
      <c r="O60" s="75" t="s">
        <v>42</v>
      </c>
      <c r="P60" s="75" t="s">
        <v>43</v>
      </c>
      <c r="Q60" s="75" t="s">
        <v>44</v>
      </c>
      <c r="R60" s="75" t="s">
        <v>45</v>
      </c>
      <c r="S60" s="75" t="s">
        <v>46</v>
      </c>
      <c r="T60" s="75" t="s">
        <v>47</v>
      </c>
    </row>
    <row r="61" spans="1:20" x14ac:dyDescent="0.25">
      <c r="L61" s="5" t="s">
        <v>216</v>
      </c>
      <c r="M61" s="5">
        <v>18.276430322400465</v>
      </c>
      <c r="N61" s="5">
        <v>3.3117360202835662</v>
      </c>
      <c r="O61" s="5">
        <v>5.5186857317315869</v>
      </c>
      <c r="P61" s="5">
        <v>9.8958696717572209E-5</v>
      </c>
      <c r="Q61" s="5">
        <v>11.12185962570102</v>
      </c>
      <c r="R61" s="5">
        <v>25.431001019099909</v>
      </c>
      <c r="S61" s="5">
        <v>11.12185962570102</v>
      </c>
      <c r="T61" s="5">
        <v>25.431001019099909</v>
      </c>
    </row>
    <row r="62" spans="1:20" ht="15.75" thickBot="1" x14ac:dyDescent="0.3">
      <c r="L62" s="12" t="s">
        <v>214</v>
      </c>
      <c r="M62" s="12">
        <v>-0.81894341863154496</v>
      </c>
      <c r="N62" s="12">
        <v>0.17863273135106988</v>
      </c>
      <c r="O62" s="12">
        <v>-4.5845093026208161</v>
      </c>
      <c r="P62" s="12">
        <v>5.1192094354852958E-4</v>
      </c>
      <c r="Q62" s="12">
        <v>-1.2048559724607348</v>
      </c>
      <c r="R62" s="12">
        <v>-0.43303086480235514</v>
      </c>
      <c r="S62" s="12">
        <v>-1.2048559724607348</v>
      </c>
      <c r="T62" s="12">
        <v>-0.43303086480235514</v>
      </c>
    </row>
    <row r="74" spans="1:13" ht="18.75" x14ac:dyDescent="0.25">
      <c r="A74" s="7" t="s">
        <v>234</v>
      </c>
      <c r="B74" s="7" t="s">
        <v>157</v>
      </c>
      <c r="C74" s="7" t="s">
        <v>235</v>
      </c>
      <c r="D74" s="7" t="s">
        <v>237</v>
      </c>
      <c r="E74" s="7" t="s">
        <v>238</v>
      </c>
      <c r="F74" s="7" t="s">
        <v>239</v>
      </c>
      <c r="G74" s="7" t="s">
        <v>240</v>
      </c>
      <c r="L74" s="5" t="s">
        <v>24</v>
      </c>
    </row>
    <row r="75" spans="1:13" ht="19.5" thickBot="1" x14ac:dyDescent="0.3">
      <c r="A75" s="7">
        <v>1</v>
      </c>
      <c r="B75" s="60">
        <f xml:space="preserve"> B2 - ($M$90 + $M$91*C2 +$M$92*E2)</f>
        <v>1.1852381506446399</v>
      </c>
      <c r="C75" s="60">
        <f t="shared" ref="C75:C89" si="8" xml:space="preserve"> D2 - ($M$97 +$M$98*C2+$M$99*E2)</f>
        <v>-0.20199801307794196</v>
      </c>
      <c r="D75" s="60">
        <f>F2 - ($M$104 +$M$105*C2+$M$106*E2)</f>
        <v>-0.71646003636470823</v>
      </c>
      <c r="E75" s="108">
        <f>G2 - ($M$111 +$M$112*C2+$M$113*E2)</f>
        <v>4.0985727050912857E-4</v>
      </c>
      <c r="F75" s="60">
        <f>H2 - ($M$118 +$M$119*C2+$M$120*E2)</f>
        <v>-2.4317296447153538</v>
      </c>
      <c r="G75" s="60">
        <f>I2 - ($M$125 +$M$126*C2+$M$127*E2)</f>
        <v>0.16661933685531549</v>
      </c>
    </row>
    <row r="76" spans="1:13" ht="18.75" x14ac:dyDescent="0.25">
      <c r="A76" s="7">
        <v>2</v>
      </c>
      <c r="B76" s="60">
        <f t="shared" ref="B76:B89" si="9" xml:space="preserve"> B3 - ($M$90 + $M$91*C3 +$M$92*E3)</f>
        <v>-0.56409642460965159</v>
      </c>
      <c r="C76" s="60">
        <f t="shared" si="8"/>
        <v>-1.8619629916026028</v>
      </c>
      <c r="D76" s="60">
        <f t="shared" ref="D76:D89" si="10">F3 - ($M$104 +$M$105*C3+$M$106*E3)</f>
        <v>0.33352230853297726</v>
      </c>
      <c r="E76" s="108">
        <f t="shared" ref="E76:E89" si="11">G3 - ($M$111 +$M$112*C3+$M$113*E3)</f>
        <v>2.4987368266398025E-2</v>
      </c>
      <c r="F76" s="60">
        <f t="shared" ref="F76:F89" si="12">H3 - ($M$118 +$M$119*C3+$M$120*E3)</f>
        <v>3.0775532674554285</v>
      </c>
      <c r="G76" s="60">
        <f t="shared" ref="G76:G89" si="13">I3 - ($M$125 +$M$126*C3+$M$127*E3)</f>
        <v>-3.8515196349202281</v>
      </c>
      <c r="L76" s="76" t="s">
        <v>25</v>
      </c>
      <c r="M76" s="76"/>
    </row>
    <row r="77" spans="1:13" ht="18.75" x14ac:dyDescent="0.25">
      <c r="A77" s="7">
        <v>3</v>
      </c>
      <c r="B77" s="60">
        <f t="shared" si="9"/>
        <v>0.6834469389944644</v>
      </c>
      <c r="C77" s="60">
        <f t="shared" si="8"/>
        <v>-5.8315849419608767E-2</v>
      </c>
      <c r="D77" s="60">
        <f t="shared" si="10"/>
        <v>-3.3215983449532871</v>
      </c>
      <c r="E77" s="108">
        <f t="shared" si="11"/>
        <v>3.5314396932819347E-2</v>
      </c>
      <c r="F77" s="60">
        <f t="shared" si="12"/>
        <v>15.245264040561793</v>
      </c>
      <c r="G77" s="60">
        <f t="shared" si="13"/>
        <v>2.3728057846684152</v>
      </c>
      <c r="L77" s="5" t="s">
        <v>26</v>
      </c>
      <c r="M77" s="5">
        <v>0.89198479099441119</v>
      </c>
    </row>
    <row r="78" spans="1:13" ht="18.75" x14ac:dyDescent="0.25">
      <c r="A78" s="7">
        <v>4</v>
      </c>
      <c r="B78" s="60">
        <f t="shared" si="9"/>
        <v>0.76391665349716664</v>
      </c>
      <c r="C78" s="60">
        <f t="shared" si="8"/>
        <v>0.99631091028162899</v>
      </c>
      <c r="D78" s="60">
        <f t="shared" si="10"/>
        <v>-0.71079730684240872</v>
      </c>
      <c r="E78" s="108">
        <f t="shared" si="11"/>
        <v>3.5811708755059124E-3</v>
      </c>
      <c r="F78" s="60">
        <f t="shared" si="12"/>
        <v>-0.23798870091925295</v>
      </c>
      <c r="G78" s="60">
        <f t="shared" si="13"/>
        <v>-1.4896538951901759</v>
      </c>
      <c r="L78" s="5" t="s">
        <v>27</v>
      </c>
      <c r="M78" s="5">
        <v>0.79563686736534334</v>
      </c>
    </row>
    <row r="79" spans="1:13" ht="18.75" x14ac:dyDescent="0.25">
      <c r="A79" s="7">
        <v>5</v>
      </c>
      <c r="B79" s="60">
        <f t="shared" si="9"/>
        <v>0.90216322418091366</v>
      </c>
      <c r="C79" s="60">
        <f t="shared" si="8"/>
        <v>1.1823696729415776</v>
      </c>
      <c r="D79" s="60">
        <f t="shared" si="10"/>
        <v>1.4486640033715332</v>
      </c>
      <c r="E79" s="108">
        <f t="shared" si="11"/>
        <v>4.3735102318593122E-2</v>
      </c>
      <c r="F79" s="60">
        <f t="shared" si="12"/>
        <v>-4.1390001840498982</v>
      </c>
      <c r="G79" s="60">
        <f t="shared" si="13"/>
        <v>-2.7676624030615882</v>
      </c>
      <c r="L79" s="5" t="s">
        <v>28</v>
      </c>
      <c r="M79" s="5">
        <v>0.7615763452595673</v>
      </c>
    </row>
    <row r="80" spans="1:13" ht="18.75" x14ac:dyDescent="0.25">
      <c r="A80" s="7">
        <v>6</v>
      </c>
      <c r="B80" s="60">
        <f t="shared" si="9"/>
        <v>1.2209903819223635</v>
      </c>
      <c r="C80" s="60">
        <f t="shared" si="8"/>
        <v>-1.7536100318917551</v>
      </c>
      <c r="D80" s="60">
        <f t="shared" si="10"/>
        <v>3.2335511405639465</v>
      </c>
      <c r="E80" s="108">
        <f t="shared" si="11"/>
        <v>8.6991279878176786E-2</v>
      </c>
      <c r="F80" s="60">
        <f t="shared" si="12"/>
        <v>-5.7492767783673244</v>
      </c>
      <c r="G80" s="60">
        <f t="shared" si="13"/>
        <v>-4.1670599866265743</v>
      </c>
      <c r="L80" s="5" t="s">
        <v>29</v>
      </c>
      <c r="M80" s="5">
        <v>1.2603689315708557</v>
      </c>
    </row>
    <row r="81" spans="1:20" ht="19.5" thickBot="1" x14ac:dyDescent="0.3">
      <c r="A81" s="7">
        <v>7</v>
      </c>
      <c r="B81" s="60">
        <f t="shared" si="9"/>
        <v>-0.61729749523369115</v>
      </c>
      <c r="C81" s="60">
        <f t="shared" si="8"/>
        <v>-2.4172249703976298</v>
      </c>
      <c r="D81" s="60">
        <f t="shared" si="10"/>
        <v>1.6031509807231572</v>
      </c>
      <c r="E81" s="108">
        <f t="shared" si="11"/>
        <v>1.7464184853619669E-2</v>
      </c>
      <c r="F81" s="60">
        <f t="shared" si="12"/>
        <v>-0.40831774899069018</v>
      </c>
      <c r="G81" s="60">
        <f t="shared" si="13"/>
        <v>-1.4847137070262848</v>
      </c>
      <c r="L81" s="12" t="s">
        <v>30</v>
      </c>
      <c r="M81" s="12">
        <v>15</v>
      </c>
    </row>
    <row r="82" spans="1:20" ht="18.75" x14ac:dyDescent="0.25">
      <c r="A82" s="7">
        <v>8</v>
      </c>
      <c r="B82" s="60">
        <f t="shared" si="9"/>
        <v>0.6707895859398274</v>
      </c>
      <c r="C82" s="60">
        <f t="shared" si="8"/>
        <v>-6.3982716362048091</v>
      </c>
      <c r="D82" s="60">
        <f t="shared" si="10"/>
        <v>-0.27001859855529631</v>
      </c>
      <c r="E82" s="108">
        <f t="shared" si="11"/>
        <v>3.3155966919617974E-4</v>
      </c>
      <c r="F82" s="60">
        <f t="shared" si="12"/>
        <v>0.25558275096065586</v>
      </c>
      <c r="G82" s="60">
        <f t="shared" si="13"/>
        <v>2.4400514213035143</v>
      </c>
    </row>
    <row r="83" spans="1:20" ht="19.5" thickBot="1" x14ac:dyDescent="0.3">
      <c r="A83" s="7">
        <v>9</v>
      </c>
      <c r="B83" s="60">
        <f t="shared" si="9"/>
        <v>-1.319213887758989</v>
      </c>
      <c r="C83" s="60">
        <f t="shared" si="8"/>
        <v>0.66921185353069634</v>
      </c>
      <c r="D83" s="60">
        <f t="shared" si="10"/>
        <v>-0.85796928285471097</v>
      </c>
      <c r="E83" s="108">
        <f t="shared" si="11"/>
        <v>-9.7987932246777043E-2</v>
      </c>
      <c r="F83" s="60">
        <f t="shared" si="12"/>
        <v>-5.0691673218693296</v>
      </c>
      <c r="G83" s="60">
        <f t="shared" si="13"/>
        <v>4.1379610554804422</v>
      </c>
      <c r="L83" s="5" t="s">
        <v>31</v>
      </c>
    </row>
    <row r="84" spans="1:20" ht="18.75" x14ac:dyDescent="0.25">
      <c r="A84" s="7">
        <v>10</v>
      </c>
      <c r="B84" s="60">
        <f t="shared" si="9"/>
        <v>1.0474071638324673</v>
      </c>
      <c r="C84" s="60">
        <f t="shared" si="8"/>
        <v>-0.81236824326960999</v>
      </c>
      <c r="D84" s="60">
        <f t="shared" si="10"/>
        <v>-0.47982552050532945</v>
      </c>
      <c r="E84" s="108">
        <f t="shared" si="11"/>
        <v>-8.1768963231679814E-3</v>
      </c>
      <c r="F84" s="60">
        <f t="shared" si="12"/>
        <v>-3.4456607419439678</v>
      </c>
      <c r="G84" s="60">
        <f t="shared" si="13"/>
        <v>-0.41725545961166832</v>
      </c>
      <c r="L84" s="75"/>
      <c r="M84" s="75" t="s">
        <v>36</v>
      </c>
      <c r="N84" s="75" t="s">
        <v>37</v>
      </c>
      <c r="O84" s="75" t="s">
        <v>38</v>
      </c>
      <c r="P84" s="75" t="s">
        <v>39</v>
      </c>
      <c r="Q84" s="75" t="s">
        <v>40</v>
      </c>
    </row>
    <row r="85" spans="1:20" ht="18.75" x14ac:dyDescent="0.25">
      <c r="A85" s="7">
        <v>11</v>
      </c>
      <c r="B85" s="60">
        <f t="shared" si="9"/>
        <v>-0.15318805635148791</v>
      </c>
      <c r="C85" s="60">
        <f t="shared" si="8"/>
        <v>0.13700609394243757</v>
      </c>
      <c r="D85" s="60">
        <f t="shared" si="10"/>
        <v>1.0681149340304472</v>
      </c>
      <c r="E85" s="108">
        <f t="shared" si="11"/>
        <v>-5.7870194089971738E-3</v>
      </c>
      <c r="F85" s="60">
        <f t="shared" si="12"/>
        <v>-4.406591810914577</v>
      </c>
      <c r="G85" s="60">
        <f t="shared" si="13"/>
        <v>-0.95617159064962109</v>
      </c>
      <c r="L85" s="5" t="s">
        <v>32</v>
      </c>
      <c r="M85" s="5">
        <v>2</v>
      </c>
      <c r="N85" s="5">
        <v>74.214535209304614</v>
      </c>
      <c r="O85" s="5">
        <v>37.107267604652307</v>
      </c>
      <c r="P85" s="5">
        <v>23.35950297222297</v>
      </c>
      <c r="Q85" s="5">
        <v>7.2847609940510888E-5</v>
      </c>
    </row>
    <row r="86" spans="1:20" ht="18.75" x14ac:dyDescent="0.25">
      <c r="A86" s="7">
        <v>12</v>
      </c>
      <c r="B86" s="60">
        <f t="shared" si="9"/>
        <v>-1.436434276996942</v>
      </c>
      <c r="C86" s="60">
        <f t="shared" si="8"/>
        <v>-3.1122001526841103</v>
      </c>
      <c r="D86" s="60">
        <f t="shared" si="10"/>
        <v>-3.4193500663193106</v>
      </c>
      <c r="E86" s="108">
        <f t="shared" si="11"/>
        <v>-7.1206966159751417E-2</v>
      </c>
      <c r="F86" s="60">
        <f t="shared" si="12"/>
        <v>3.0605794506458395</v>
      </c>
      <c r="G86" s="60">
        <f t="shared" si="13"/>
        <v>6.2528255953515171</v>
      </c>
      <c r="L86" s="5" t="s">
        <v>33</v>
      </c>
      <c r="M86" s="5">
        <v>12</v>
      </c>
      <c r="N86" s="5">
        <v>19.062358124028727</v>
      </c>
      <c r="O86" s="5">
        <v>1.5885298436690605</v>
      </c>
    </row>
    <row r="87" spans="1:20" ht="19.5" thickBot="1" x14ac:dyDescent="0.3">
      <c r="A87" s="7">
        <v>13</v>
      </c>
      <c r="B87" s="60">
        <f t="shared" si="9"/>
        <v>0.11356923729335566</v>
      </c>
      <c r="C87" s="60">
        <f t="shared" si="8"/>
        <v>-1.1165011540114733E-2</v>
      </c>
      <c r="D87" s="60">
        <f t="shared" si="10"/>
        <v>0.17111607384737226</v>
      </c>
      <c r="E87" s="108">
        <f t="shared" si="11"/>
        <v>1.2101998026623262E-2</v>
      </c>
      <c r="F87" s="60">
        <f t="shared" si="12"/>
        <v>1.3837480039118191</v>
      </c>
      <c r="G87" s="60">
        <f t="shared" si="13"/>
        <v>-1.4485318807315957</v>
      </c>
      <c r="L87" s="12" t="s">
        <v>34</v>
      </c>
      <c r="M87" s="12">
        <v>14</v>
      </c>
      <c r="N87" s="12">
        <v>93.276893333333334</v>
      </c>
      <c r="O87" s="12"/>
      <c r="P87" s="12"/>
      <c r="Q87" s="12"/>
    </row>
    <row r="88" spans="1:20" ht="19.5" thickBot="1" x14ac:dyDescent="0.3">
      <c r="A88" s="7">
        <v>14</v>
      </c>
      <c r="B88" s="60">
        <f t="shared" si="9"/>
        <v>0.3478565084875278</v>
      </c>
      <c r="C88" s="60">
        <f t="shared" si="8"/>
        <v>6.2176888426790846</v>
      </c>
      <c r="D88" s="60">
        <f t="shared" si="10"/>
        <v>-0.15217703388006498</v>
      </c>
      <c r="E88" s="108">
        <f t="shared" si="11"/>
        <v>-3.9918673642089231E-2</v>
      </c>
      <c r="F88" s="60">
        <f t="shared" si="12"/>
        <v>5.2324899128241995</v>
      </c>
      <c r="G88" s="60">
        <f t="shared" si="13"/>
        <v>1.8075149664730168</v>
      </c>
    </row>
    <row r="89" spans="1:20" ht="18.75" x14ac:dyDescent="0.25">
      <c r="A89" s="7">
        <v>15</v>
      </c>
      <c r="B89" s="60">
        <f t="shared" si="9"/>
        <v>-2.8451477038419828</v>
      </c>
      <c r="C89" s="60">
        <f t="shared" si="8"/>
        <v>7.4245295267126785</v>
      </c>
      <c r="D89" s="60">
        <f t="shared" si="10"/>
        <v>2.0700767492057537</v>
      </c>
      <c r="E89" s="108">
        <f t="shared" si="11"/>
        <v>-1.8394303106590293E-3</v>
      </c>
      <c r="F89" s="60">
        <f t="shared" si="12"/>
        <v>-2.367484494589263</v>
      </c>
      <c r="G89" s="60">
        <f t="shared" si="13"/>
        <v>-0.5952096023143767</v>
      </c>
      <c r="L89" s="75"/>
      <c r="M89" s="75" t="s">
        <v>41</v>
      </c>
      <c r="N89" s="75" t="s">
        <v>29</v>
      </c>
      <c r="O89" s="75" t="s">
        <v>42</v>
      </c>
      <c r="P89" s="75" t="s">
        <v>43</v>
      </c>
      <c r="Q89" s="75" t="s">
        <v>44</v>
      </c>
      <c r="R89" s="75" t="s">
        <v>45</v>
      </c>
      <c r="S89" s="75" t="s">
        <v>46</v>
      </c>
      <c r="T89" s="75" t="s">
        <v>47</v>
      </c>
    </row>
    <row r="90" spans="1:20" ht="15" customHeight="1" x14ac:dyDescent="0.25">
      <c r="A90" s="128" t="s">
        <v>247</v>
      </c>
      <c r="B90" s="128"/>
      <c r="C90" s="128"/>
      <c r="D90" s="128"/>
      <c r="E90" s="128"/>
      <c r="F90" s="128"/>
      <c r="G90" s="128"/>
      <c r="L90" s="5" t="s">
        <v>17</v>
      </c>
      <c r="M90" s="43">
        <v>3.5552060684501865</v>
      </c>
      <c r="N90" s="5">
        <v>1.1921179908995307</v>
      </c>
      <c r="O90" s="5">
        <v>2.9822602255734365</v>
      </c>
      <c r="P90" s="5">
        <v>1.1437611192102506E-2</v>
      </c>
      <c r="Q90" s="5">
        <v>0.95780409540116862</v>
      </c>
      <c r="R90" s="5">
        <v>6.1526080414992048</v>
      </c>
      <c r="S90" s="5">
        <v>0.95780409540116862</v>
      </c>
      <c r="T90" s="5">
        <v>6.1526080414992048</v>
      </c>
    </row>
    <row r="91" spans="1:20" x14ac:dyDescent="0.25">
      <c r="A91" s="129"/>
      <c r="B91" s="129"/>
      <c r="C91" s="129"/>
      <c r="D91" s="129"/>
      <c r="E91" s="129"/>
      <c r="F91" s="129"/>
      <c r="G91" s="129"/>
      <c r="L91" s="5" t="s">
        <v>133</v>
      </c>
      <c r="M91" s="43">
        <v>0.21831367416243272</v>
      </c>
      <c r="N91" s="5">
        <v>6.013804853673696E-2</v>
      </c>
      <c r="O91" s="5">
        <v>3.6302088191150714</v>
      </c>
      <c r="P91" s="5">
        <v>3.4493988919544255E-3</v>
      </c>
      <c r="Q91" s="5">
        <v>8.7284122459439728E-2</v>
      </c>
      <c r="R91" s="5">
        <v>0.34934322586542571</v>
      </c>
      <c r="S91" s="5">
        <v>8.7284122459439728E-2</v>
      </c>
      <c r="T91" s="5">
        <v>0.34934322586542571</v>
      </c>
    </row>
    <row r="92" spans="1:20" ht="15.75" thickBot="1" x14ac:dyDescent="0.3">
      <c r="L92" s="12" t="s">
        <v>135</v>
      </c>
      <c r="M92" s="44">
        <v>-1.6148692373130279E-2</v>
      </c>
      <c r="N92" s="12">
        <v>7.1518329461271067E-3</v>
      </c>
      <c r="O92" s="12">
        <v>-2.2579795270351211</v>
      </c>
      <c r="P92" s="12">
        <v>4.3368679640831874E-2</v>
      </c>
      <c r="Q92" s="12">
        <v>-3.1731197751788794E-2</v>
      </c>
      <c r="R92" s="12">
        <v>-5.6618699447176686E-4</v>
      </c>
      <c r="S92" s="12">
        <v>-3.1731197751788794E-2</v>
      </c>
      <c r="T92" s="12">
        <v>-5.6618699447176686E-4</v>
      </c>
    </row>
    <row r="93" spans="1:20" x14ac:dyDescent="0.25">
      <c r="A93" s="131" t="s">
        <v>248</v>
      </c>
      <c r="B93" s="131"/>
      <c r="C93" s="131"/>
      <c r="D93" s="131"/>
      <c r="E93" s="131"/>
      <c r="F93" s="131"/>
    </row>
    <row r="94" spans="1:20" ht="18.75" x14ac:dyDescent="0.25">
      <c r="A94" s="7" t="s">
        <v>235</v>
      </c>
      <c r="B94" s="7" t="s">
        <v>237</v>
      </c>
      <c r="C94" s="7" t="s">
        <v>238</v>
      </c>
      <c r="D94" s="7" t="s">
        <v>239</v>
      </c>
      <c r="E94" s="7" t="s">
        <v>240</v>
      </c>
    </row>
    <row r="95" spans="1:20" ht="19.5" thickBot="1" x14ac:dyDescent="0.35">
      <c r="A95" s="40">
        <f>CORREL($B$75:$B$89, C75:C89)</f>
        <v>-0.33621589941362517</v>
      </c>
      <c r="B95" s="40">
        <f>CORREL($B$75:$B$89, D75:D89)</f>
        <v>-1.0593537183013146E-2</v>
      </c>
      <c r="C95" s="109">
        <f>CORREL($B$75:$B$89, E75:E89)</f>
        <v>0.49791557626674354</v>
      </c>
      <c r="D95" s="40">
        <f>CORREL($B$75:$B$89, F75:F89)</f>
        <v>3.849121556906264E-2</v>
      </c>
      <c r="E95" s="40">
        <f>CORREL($B$75:$B$89, G75:G89)</f>
        <v>-0.30981865290650351</v>
      </c>
      <c r="L95" s="107" t="s">
        <v>241</v>
      </c>
    </row>
    <row r="96" spans="1:20" x14ac:dyDescent="0.25">
      <c r="L96" s="75"/>
      <c r="M96" s="75" t="s">
        <v>41</v>
      </c>
      <c r="N96" s="75" t="s">
        <v>29</v>
      </c>
      <c r="O96" s="75" t="s">
        <v>42</v>
      </c>
      <c r="P96" s="75" t="s">
        <v>43</v>
      </c>
      <c r="Q96" s="75" t="s">
        <v>44</v>
      </c>
      <c r="R96" s="75" t="s">
        <v>45</v>
      </c>
      <c r="S96" s="75" t="s">
        <v>46</v>
      </c>
      <c r="T96" s="75" t="s">
        <v>47</v>
      </c>
    </row>
    <row r="97" spans="1:20" x14ac:dyDescent="0.25">
      <c r="L97" s="5" t="s">
        <v>17</v>
      </c>
      <c r="M97" s="5">
        <v>-2.6803532960753227</v>
      </c>
      <c r="N97" s="5">
        <v>3.4575635386724968</v>
      </c>
      <c r="O97" s="5">
        <v>-0.77521447287832701</v>
      </c>
      <c r="P97" s="5">
        <v>0.45321904403635138</v>
      </c>
      <c r="Q97" s="5">
        <v>-10.213737093524582</v>
      </c>
      <c r="R97" s="5">
        <v>4.8530305013739357</v>
      </c>
      <c r="S97" s="5">
        <v>-10.213737093524582</v>
      </c>
      <c r="T97" s="5">
        <v>4.8530305013739357</v>
      </c>
    </row>
    <row r="98" spans="1:20" x14ac:dyDescent="0.25">
      <c r="L98" s="5" t="s">
        <v>133</v>
      </c>
      <c r="M98" s="5">
        <v>0.923026076288744</v>
      </c>
      <c r="N98" s="5">
        <v>0.17442159710268362</v>
      </c>
      <c r="O98" s="5">
        <v>5.291925378629287</v>
      </c>
      <c r="P98" s="5">
        <v>1.9084229040344515E-4</v>
      </c>
      <c r="Q98" s="5">
        <v>0.54299406275036866</v>
      </c>
      <c r="R98" s="5">
        <v>1.3030580898271193</v>
      </c>
      <c r="S98" s="5">
        <v>0.54299406275036866</v>
      </c>
      <c r="T98" s="5">
        <v>1.3030580898271193</v>
      </c>
    </row>
    <row r="99" spans="1:20" ht="15.75" thickBot="1" x14ac:dyDescent="0.3">
      <c r="L99" s="12" t="s">
        <v>135</v>
      </c>
      <c r="M99" s="12">
        <v>-5.5487877019303362E-3</v>
      </c>
      <c r="N99" s="12">
        <v>2.0742843424875215E-2</v>
      </c>
      <c r="O99" s="12">
        <v>-0.26750371625888686</v>
      </c>
      <c r="P99" s="12">
        <v>0.79362358274425182</v>
      </c>
      <c r="Q99" s="12">
        <v>-5.0743561079826971E-2</v>
      </c>
      <c r="R99" s="12">
        <v>3.9645985675966292E-2</v>
      </c>
      <c r="S99" s="12">
        <v>-5.0743561079826971E-2</v>
      </c>
      <c r="T99" s="12">
        <v>3.9645985675966292E-2</v>
      </c>
    </row>
    <row r="102" spans="1:20" ht="19.5" thickBot="1" x14ac:dyDescent="0.35">
      <c r="L102" s="107" t="s">
        <v>243</v>
      </c>
    </row>
    <row r="103" spans="1:20" x14ac:dyDescent="0.25">
      <c r="L103" s="75"/>
      <c r="M103" s="75" t="s">
        <v>41</v>
      </c>
      <c r="N103" s="75" t="s">
        <v>29</v>
      </c>
      <c r="O103" s="75" t="s">
        <v>42</v>
      </c>
      <c r="P103" s="75" t="s">
        <v>43</v>
      </c>
      <c r="Q103" s="75" t="s">
        <v>44</v>
      </c>
      <c r="R103" s="75" t="s">
        <v>45</v>
      </c>
      <c r="S103" s="75" t="s">
        <v>46</v>
      </c>
      <c r="T103" s="75" t="s">
        <v>47</v>
      </c>
    </row>
    <row r="104" spans="1:20" x14ac:dyDescent="0.25">
      <c r="L104" s="5" t="s">
        <v>17</v>
      </c>
      <c r="M104" s="5">
        <v>68.649413343401022</v>
      </c>
      <c r="N104" s="5">
        <v>1.841716709070482</v>
      </c>
      <c r="O104" s="5">
        <v>37.274686712294915</v>
      </c>
      <c r="P104" s="5">
        <v>8.925292026211604E-14</v>
      </c>
      <c r="Q104" s="5">
        <v>64.636657349065743</v>
      </c>
      <c r="R104" s="5">
        <v>72.662169337736302</v>
      </c>
      <c r="S104" s="5">
        <v>64.636657349065743</v>
      </c>
      <c r="T104" s="5">
        <v>72.662169337736302</v>
      </c>
    </row>
    <row r="105" spans="1:20" x14ac:dyDescent="0.25">
      <c r="L105" s="5" t="s">
        <v>133</v>
      </c>
      <c r="M105" s="5">
        <v>0.40612904289515356</v>
      </c>
      <c r="N105" s="5">
        <v>9.2907958512920802E-2</v>
      </c>
      <c r="O105" s="5">
        <v>4.3713052078167536</v>
      </c>
      <c r="P105" s="5">
        <v>9.1009757166858401E-4</v>
      </c>
      <c r="Q105" s="5">
        <v>0.20369999090901111</v>
      </c>
      <c r="R105" s="5">
        <v>0.60855809488129597</v>
      </c>
      <c r="S105" s="5">
        <v>0.20369999090901111</v>
      </c>
      <c r="T105" s="5">
        <v>0.60855809488129597</v>
      </c>
    </row>
    <row r="106" spans="1:20" ht="15.75" thickBot="1" x14ac:dyDescent="0.3">
      <c r="L106" s="12" t="s">
        <v>135</v>
      </c>
      <c r="M106" s="12">
        <v>-1.8414575943982592E-2</v>
      </c>
      <c r="N106" s="12">
        <v>1.1048948458050024E-2</v>
      </c>
      <c r="O106" s="12">
        <v>-1.6666360616938285</v>
      </c>
      <c r="P106" s="12">
        <v>0.1214533554117518</v>
      </c>
      <c r="Q106" s="12">
        <v>-4.2488166598713926E-2</v>
      </c>
      <c r="R106" s="12">
        <v>5.6590147107487415E-3</v>
      </c>
      <c r="S106" s="12">
        <v>-4.2488166598713926E-2</v>
      </c>
      <c r="T106" s="12">
        <v>5.6590147107487415E-3</v>
      </c>
    </row>
    <row r="109" spans="1:20" ht="19.5" thickBot="1" x14ac:dyDescent="0.35">
      <c r="L109" s="107" t="s">
        <v>244</v>
      </c>
    </row>
    <row r="110" spans="1:20" ht="18.75" x14ac:dyDescent="0.25">
      <c r="A110" s="110"/>
      <c r="B110" s="110"/>
      <c r="C110" s="110"/>
      <c r="L110" s="75"/>
      <c r="M110" s="75" t="s">
        <v>41</v>
      </c>
      <c r="N110" s="75" t="s">
        <v>29</v>
      </c>
      <c r="O110" s="75" t="s">
        <v>42</v>
      </c>
      <c r="P110" s="75" t="s">
        <v>43</v>
      </c>
      <c r="Q110" s="75" t="s">
        <v>44</v>
      </c>
      <c r="R110" s="75" t="s">
        <v>45</v>
      </c>
      <c r="S110" s="75" t="s">
        <v>46</v>
      </c>
      <c r="T110" s="75" t="s">
        <v>47</v>
      </c>
    </row>
    <row r="111" spans="1:20" ht="18.75" x14ac:dyDescent="0.25">
      <c r="A111" s="111"/>
      <c r="B111" s="111"/>
      <c r="C111" s="111"/>
      <c r="L111" s="5" t="s">
        <v>17</v>
      </c>
      <c r="M111" s="5">
        <v>0.64802231918790765</v>
      </c>
      <c r="N111" s="5">
        <v>4.5839978301902472E-2</v>
      </c>
      <c r="O111" s="5">
        <v>14.136619239215763</v>
      </c>
      <c r="P111" s="5">
        <v>7.6404505840534275E-9</v>
      </c>
      <c r="Q111" s="5">
        <v>0.54814558635205513</v>
      </c>
      <c r="R111" s="5">
        <v>0.74789905202376017</v>
      </c>
      <c r="S111" s="5">
        <v>0.54814558635205513</v>
      </c>
      <c r="T111" s="5">
        <v>0.74789905202376017</v>
      </c>
    </row>
    <row r="112" spans="1:20" ht="18.75" x14ac:dyDescent="0.25">
      <c r="A112" s="111"/>
      <c r="B112" s="111"/>
      <c r="C112" s="111"/>
      <c r="L112" s="5" t="s">
        <v>133</v>
      </c>
      <c r="M112" s="5">
        <v>1.3451300236945025E-2</v>
      </c>
      <c r="N112" s="5">
        <v>2.3124614015452025E-3</v>
      </c>
      <c r="O112" s="5">
        <v>5.8168755716124707</v>
      </c>
      <c r="P112" s="5">
        <v>8.2529914966728476E-5</v>
      </c>
      <c r="Q112" s="5">
        <v>8.4128796671480779E-3</v>
      </c>
      <c r="R112" s="5">
        <v>1.8489720806741973E-2</v>
      </c>
      <c r="S112" s="5">
        <v>8.4128796671480779E-3</v>
      </c>
      <c r="T112" s="5">
        <v>1.8489720806741973E-2</v>
      </c>
    </row>
    <row r="113" spans="1:20" ht="19.5" thickBot="1" x14ac:dyDescent="0.3">
      <c r="A113" s="111"/>
      <c r="B113" s="111"/>
      <c r="C113" s="111"/>
      <c r="L113" s="12" t="s">
        <v>135</v>
      </c>
      <c r="M113" s="12">
        <v>5.8879160595133638E-4</v>
      </c>
      <c r="N113" s="12">
        <v>2.7500622385702043E-4</v>
      </c>
      <c r="O113" s="12">
        <v>2.141011929451667</v>
      </c>
      <c r="P113" s="12">
        <v>5.3494421783844337E-2</v>
      </c>
      <c r="Q113" s="12">
        <v>-1.0395482826677576E-5</v>
      </c>
      <c r="R113" s="12">
        <v>1.1879786947293503E-3</v>
      </c>
      <c r="S113" s="12">
        <v>-1.0395482826677576E-5</v>
      </c>
      <c r="T113" s="12">
        <v>1.1879786947293503E-3</v>
      </c>
    </row>
    <row r="114" spans="1:20" ht="18.75" x14ac:dyDescent="0.25">
      <c r="A114" s="111"/>
      <c r="B114" s="111"/>
      <c r="C114" s="111"/>
    </row>
    <row r="115" spans="1:20" ht="18.75" x14ac:dyDescent="0.25">
      <c r="A115" s="111"/>
      <c r="B115" s="111"/>
      <c r="C115" s="111"/>
    </row>
    <row r="116" spans="1:20" ht="19.5" thickBot="1" x14ac:dyDescent="0.35">
      <c r="A116" s="111"/>
      <c r="B116" s="111"/>
      <c r="C116" s="111"/>
      <c r="L116" s="107" t="s">
        <v>245</v>
      </c>
    </row>
    <row r="117" spans="1:20" ht="18.75" x14ac:dyDescent="0.25">
      <c r="A117" s="111"/>
      <c r="B117" s="111"/>
      <c r="C117" s="111"/>
      <c r="L117" s="75"/>
      <c r="M117" s="75" t="s">
        <v>41</v>
      </c>
      <c r="N117" s="75" t="s">
        <v>29</v>
      </c>
      <c r="O117" s="75" t="s">
        <v>42</v>
      </c>
      <c r="P117" s="75" t="s">
        <v>43</v>
      </c>
      <c r="Q117" s="75" t="s">
        <v>44</v>
      </c>
      <c r="R117" s="75" t="s">
        <v>45</v>
      </c>
      <c r="S117" s="75" t="s">
        <v>46</v>
      </c>
      <c r="T117" s="75" t="s">
        <v>47</v>
      </c>
    </row>
    <row r="118" spans="1:20" ht="18.75" x14ac:dyDescent="0.25">
      <c r="A118" s="111"/>
      <c r="B118" s="111"/>
      <c r="C118" s="111"/>
      <c r="L118" s="5" t="s">
        <v>17</v>
      </c>
      <c r="M118" s="5">
        <v>45.659927417201352</v>
      </c>
      <c r="N118" s="5">
        <v>5.4576482024944442</v>
      </c>
      <c r="O118" s="5">
        <v>8.3662276722659161</v>
      </c>
      <c r="P118" s="5">
        <v>2.370769442521476E-6</v>
      </c>
      <c r="Q118" s="5">
        <v>33.768733493796169</v>
      </c>
      <c r="R118" s="5">
        <v>57.551121340606535</v>
      </c>
      <c r="S118" s="5">
        <v>33.768733493796169</v>
      </c>
      <c r="T118" s="5">
        <v>57.551121340606535</v>
      </c>
    </row>
    <row r="119" spans="1:20" ht="18.75" x14ac:dyDescent="0.25">
      <c r="A119" s="111"/>
      <c r="B119" s="111"/>
      <c r="C119" s="111"/>
      <c r="L119" s="5" t="s">
        <v>133</v>
      </c>
      <c r="M119" s="5">
        <v>-0.26792057921425005</v>
      </c>
      <c r="N119" s="5">
        <v>0.27531864715034499</v>
      </c>
      <c r="O119" s="5">
        <v>-0.97312907057815445</v>
      </c>
      <c r="P119" s="5">
        <v>0.3496974405260268</v>
      </c>
      <c r="Q119" s="5">
        <v>-0.86778837987204649</v>
      </c>
      <c r="R119" s="5">
        <v>0.33194722144354638</v>
      </c>
      <c r="S119" s="5">
        <v>-0.86778837987204649</v>
      </c>
      <c r="T119" s="5">
        <v>0.33194722144354638</v>
      </c>
    </row>
    <row r="120" spans="1:20" ht="19.5" thickBot="1" x14ac:dyDescent="0.3">
      <c r="A120" s="111"/>
      <c r="B120" s="111"/>
      <c r="C120" s="111"/>
      <c r="L120" s="12" t="s">
        <v>135</v>
      </c>
      <c r="M120" s="12">
        <v>0.11019881662502244</v>
      </c>
      <c r="N120" s="12">
        <v>3.2741883371392472E-2</v>
      </c>
      <c r="O120" s="12">
        <v>3.3656835000916998</v>
      </c>
      <c r="P120" s="12">
        <v>5.6148536300174934E-3</v>
      </c>
      <c r="Q120" s="12">
        <v>3.8860381067964439E-2</v>
      </c>
      <c r="R120" s="12">
        <v>0.18153725218208044</v>
      </c>
      <c r="S120" s="12">
        <v>3.8860381067964439E-2</v>
      </c>
      <c r="T120" s="12">
        <v>0.18153725218208044</v>
      </c>
    </row>
    <row r="121" spans="1:20" ht="18.75" x14ac:dyDescent="0.25">
      <c r="A121" s="111"/>
      <c r="B121" s="111"/>
      <c r="C121" s="111"/>
    </row>
    <row r="122" spans="1:20" ht="18.75" x14ac:dyDescent="0.25">
      <c r="A122" s="111"/>
      <c r="B122" s="111"/>
      <c r="C122" s="111"/>
    </row>
    <row r="123" spans="1:20" ht="19.5" thickBot="1" x14ac:dyDescent="0.35">
      <c r="A123" s="111"/>
      <c r="B123" s="111"/>
      <c r="C123" s="111"/>
      <c r="L123" s="107" t="s">
        <v>246</v>
      </c>
    </row>
    <row r="124" spans="1:20" ht="18.75" x14ac:dyDescent="0.25">
      <c r="A124" s="111"/>
      <c r="B124" s="111"/>
      <c r="C124" s="111"/>
      <c r="L124" s="75"/>
      <c r="M124" s="75" t="s">
        <v>41</v>
      </c>
      <c r="N124" s="75" t="s">
        <v>29</v>
      </c>
      <c r="O124" s="75" t="s">
        <v>42</v>
      </c>
      <c r="P124" s="75" t="s">
        <v>43</v>
      </c>
      <c r="Q124" s="75" t="s">
        <v>44</v>
      </c>
      <c r="R124" s="75" t="s">
        <v>45</v>
      </c>
      <c r="S124" s="75" t="s">
        <v>46</v>
      </c>
      <c r="T124" s="75" t="s">
        <v>47</v>
      </c>
    </row>
    <row r="125" spans="1:20" ht="18.75" x14ac:dyDescent="0.25">
      <c r="A125" s="111"/>
      <c r="B125" s="111"/>
      <c r="C125" s="111"/>
      <c r="L125" s="5" t="s">
        <v>17</v>
      </c>
      <c r="M125" s="5">
        <v>26.932398875137849</v>
      </c>
      <c r="N125" s="5">
        <v>2.9775748220116194</v>
      </c>
      <c r="O125" s="5">
        <v>9.0450787923248868</v>
      </c>
      <c r="P125" s="5">
        <v>1.047313171070954E-6</v>
      </c>
      <c r="Q125" s="5">
        <v>20.444820651644818</v>
      </c>
      <c r="R125" s="5">
        <v>33.419977098630881</v>
      </c>
      <c r="S125" s="5">
        <v>20.444820651644818</v>
      </c>
      <c r="T125" s="5">
        <v>33.419977098630881</v>
      </c>
    </row>
    <row r="126" spans="1:20" x14ac:dyDescent="0.25">
      <c r="L126" s="5" t="s">
        <v>133</v>
      </c>
      <c r="M126" s="5">
        <v>-1.2181863678456739</v>
      </c>
      <c r="N126" s="5">
        <v>0.15020789933115936</v>
      </c>
      <c r="O126" s="5">
        <v>-8.1100020256589218</v>
      </c>
      <c r="P126" s="5">
        <v>3.2684085173851753E-6</v>
      </c>
      <c r="Q126" s="5">
        <v>-1.5454612660257674</v>
      </c>
      <c r="R126" s="5">
        <v>-0.89091146966558044</v>
      </c>
      <c r="S126" s="5">
        <v>-1.5454612660257674</v>
      </c>
      <c r="T126" s="5">
        <v>-0.89091146966558044</v>
      </c>
    </row>
    <row r="127" spans="1:20" ht="15.75" thickBot="1" x14ac:dyDescent="0.3">
      <c r="L127" s="12" t="s">
        <v>135</v>
      </c>
      <c r="M127" s="12">
        <v>-7.6054402552467468E-2</v>
      </c>
      <c r="N127" s="12">
        <v>1.7863263430453472E-2</v>
      </c>
      <c r="O127" s="12">
        <v>-4.2575872459457296</v>
      </c>
      <c r="P127" s="12">
        <v>1.1122573710670373E-3</v>
      </c>
      <c r="Q127" s="12">
        <v>-0.11497511009446493</v>
      </c>
      <c r="R127" s="12">
        <v>-3.7133695010470015E-2</v>
      </c>
      <c r="S127" s="12">
        <v>-0.11497511009446493</v>
      </c>
      <c r="T127" s="12">
        <v>-3.7133695010470015E-2</v>
      </c>
    </row>
    <row r="138" spans="1:13" ht="18.75" x14ac:dyDescent="0.25">
      <c r="A138" s="7" t="s">
        <v>234</v>
      </c>
      <c r="B138" s="7" t="s">
        <v>157</v>
      </c>
      <c r="C138" s="7" t="s">
        <v>249</v>
      </c>
      <c r="D138" s="7" t="s">
        <v>235</v>
      </c>
      <c r="E138" s="7" t="s">
        <v>237</v>
      </c>
      <c r="F138" s="7" t="s">
        <v>238</v>
      </c>
      <c r="G138" s="7" t="s">
        <v>239</v>
      </c>
      <c r="H138" s="7" t="s">
        <v>240</v>
      </c>
      <c r="L138" s="5" t="s">
        <v>24</v>
      </c>
    </row>
    <row r="139" spans="1:13" ht="19.5" thickBot="1" x14ac:dyDescent="0.3">
      <c r="A139" s="7">
        <v>1</v>
      </c>
      <c r="B139" s="60">
        <f xml:space="preserve"> B2 - ($M$154 + $M$155*E2)</f>
        <v>1.5534101501752833</v>
      </c>
      <c r="C139" s="60">
        <f t="shared" ref="C139:C153" si="14" xml:space="preserve"> C2 - ($M$160 + $M$161*E2)</f>
        <v>1.6864358173767506</v>
      </c>
      <c r="D139" s="60">
        <f xml:space="preserve"> D2 - ($M$166 + $M$167*E2)</f>
        <v>1.3546262223481218</v>
      </c>
      <c r="E139" s="60">
        <f xml:space="preserve"> F2 - ($M$172 + $M$173*E2)</f>
        <v>-3.1549471949375629E-2</v>
      </c>
      <c r="F139" s="60">
        <f xml:space="preserve"> G2 - ($M$178 + $M$179*E2)</f>
        <v>2.3094611780381524E-2</v>
      </c>
      <c r="G139" s="60">
        <f xml:space="preserve"> H2 - ($M$184 + $M$185*E2)</f>
        <v>-2.8835605057145841</v>
      </c>
      <c r="H139" s="60">
        <f xml:space="preserve"> I2 - ($M$190 + $M$191*E2)</f>
        <v>-1.8877737861197192</v>
      </c>
    </row>
    <row r="140" spans="1:13" ht="18.75" x14ac:dyDescent="0.25">
      <c r="A140" s="7">
        <v>2</v>
      </c>
      <c r="B140" s="60">
        <f t="shared" ref="B140:B153" si="15" xml:space="preserve"> B3 - ($M$154 + $M$155*E3)</f>
        <v>-0.73423314000873852</v>
      </c>
      <c r="C140" s="60">
        <f t="shared" si="14"/>
        <v>-0.77932230334092267</v>
      </c>
      <c r="D140" s="60">
        <f t="shared" ref="D140:D153" si="16" xml:space="preserve"> D3 - ($M$166 + $M$167*E3)</f>
        <v>-2.5812977994196817</v>
      </c>
      <c r="E140" s="60">
        <f t="shared" ref="E140:E153" si="17" xml:space="preserve"> F3 - ($M$172 + $M$173*E3)</f>
        <v>1.7016887370274958E-2</v>
      </c>
      <c r="F140" s="60">
        <f t="shared" ref="F140:F153" si="18" xml:space="preserve"> G3 - ($M$178 + $M$179*E3)</f>
        <v>1.4504469982811741E-2</v>
      </c>
      <c r="G140" s="60">
        <f t="shared" ref="G140:G153" si="19" xml:space="preserve"> H3 - ($M$184 + $M$185*E3)</f>
        <v>3.2863497503611185</v>
      </c>
      <c r="H140" s="60">
        <f t="shared" ref="H140:H153" si="20" xml:space="preserve"> I3 - ($M$190 + $M$191*E3)</f>
        <v>-2.9021598288322248</v>
      </c>
      <c r="L140" s="76" t="s">
        <v>25</v>
      </c>
      <c r="M140" s="76"/>
    </row>
    <row r="141" spans="1:13" ht="18.75" x14ac:dyDescent="0.25">
      <c r="A141" s="7">
        <v>3</v>
      </c>
      <c r="B141" s="60">
        <f t="shared" si="15"/>
        <v>-1.0030850979822539</v>
      </c>
      <c r="C141" s="60">
        <f t="shared" si="14"/>
        <v>-7.7252698139369915</v>
      </c>
      <c r="D141" s="60">
        <f t="shared" si="16"/>
        <v>-7.1889413340497477</v>
      </c>
      <c r="E141" s="60">
        <f t="shared" si="17"/>
        <v>-6.459054780594343</v>
      </c>
      <c r="F141" s="60">
        <f t="shared" si="18"/>
        <v>-6.8600526745855595E-2</v>
      </c>
      <c r="G141" s="60">
        <f t="shared" si="19"/>
        <v>17.315022803698149</v>
      </c>
      <c r="H141" s="60">
        <f t="shared" si="20"/>
        <v>11.783624159936148</v>
      </c>
      <c r="L141" s="5" t="s">
        <v>26</v>
      </c>
      <c r="M141" s="5">
        <v>0.75578105389271466</v>
      </c>
    </row>
    <row r="142" spans="1:13" ht="18.75" x14ac:dyDescent="0.25">
      <c r="A142" s="7">
        <v>4</v>
      </c>
      <c r="B142" s="60">
        <f t="shared" si="15"/>
        <v>1.0137031372304905</v>
      </c>
      <c r="C142" s="60">
        <f t="shared" si="14"/>
        <v>1.1441632535920547</v>
      </c>
      <c r="D142" s="60">
        <f t="shared" si="16"/>
        <v>2.0524034288784634</v>
      </c>
      <c r="E142" s="60">
        <f t="shared" si="17"/>
        <v>-0.24611937974528075</v>
      </c>
      <c r="F142" s="60">
        <f t="shared" si="18"/>
        <v>1.897165431965242E-2</v>
      </c>
      <c r="G142" s="60">
        <f t="shared" si="19"/>
        <v>-0.54453358253729789</v>
      </c>
      <c r="H142" s="60">
        <f t="shared" si="20"/>
        <v>-2.8834579733059678</v>
      </c>
      <c r="L142" s="5" t="s">
        <v>27</v>
      </c>
      <c r="M142" s="5">
        <v>0.57120500142318242</v>
      </c>
    </row>
    <row r="143" spans="1:13" ht="18.75" x14ac:dyDescent="0.25">
      <c r="A143" s="7">
        <v>5</v>
      </c>
      <c r="B143" s="60">
        <f t="shared" si="15"/>
        <v>0.7437031372304892</v>
      </c>
      <c r="C143" s="60">
        <f t="shared" si="14"/>
        <v>-0.72583674640794626</v>
      </c>
      <c r="D143" s="60">
        <f t="shared" si="16"/>
        <v>0.51240342887846246</v>
      </c>
      <c r="E143" s="60">
        <f t="shared" si="17"/>
        <v>1.1538806202547249</v>
      </c>
      <c r="F143" s="60">
        <f t="shared" si="18"/>
        <v>3.3971654319652433E-2</v>
      </c>
      <c r="G143" s="60">
        <f t="shared" si="19"/>
        <v>-3.9445335825372965</v>
      </c>
      <c r="H143" s="60">
        <f t="shared" si="20"/>
        <v>-1.8834579733059678</v>
      </c>
      <c r="L143" s="5" t="s">
        <v>28</v>
      </c>
      <c r="M143" s="5">
        <v>0.53822077076342723</v>
      </c>
    </row>
    <row r="144" spans="1:13" ht="18.75" x14ac:dyDescent="0.25">
      <c r="A144" s="7">
        <v>6</v>
      </c>
      <c r="B144" s="60">
        <f t="shared" si="15"/>
        <v>0.28106625373363237</v>
      </c>
      <c r="C144" s="60">
        <f t="shared" si="14"/>
        <v>-4.3053836723456698</v>
      </c>
      <c r="D144" s="60">
        <f t="shared" si="16"/>
        <v>-5.7275914298946038</v>
      </c>
      <c r="E144" s="60">
        <f t="shared" si="17"/>
        <v>1.4850097904177773</v>
      </c>
      <c r="F144" s="60">
        <f t="shared" si="18"/>
        <v>2.9078271466214112E-2</v>
      </c>
      <c r="G144" s="60">
        <f t="shared" si="19"/>
        <v>-4.5957758911328952</v>
      </c>
      <c r="H144" s="60">
        <f t="shared" si="20"/>
        <v>1.0776997113702675</v>
      </c>
      <c r="L144" s="5" t="s">
        <v>29</v>
      </c>
      <c r="M144" s="5">
        <v>1.7540429199230128</v>
      </c>
    </row>
    <row r="145" spans="1:20" ht="19.5" thickBot="1" x14ac:dyDescent="0.3">
      <c r="A145" s="7">
        <v>7</v>
      </c>
      <c r="B145" s="60">
        <f t="shared" si="15"/>
        <v>-0.71628404939518298</v>
      </c>
      <c r="C145" s="60">
        <f t="shared" si="14"/>
        <v>-0.4534143568480431</v>
      </c>
      <c r="D145" s="60">
        <f t="shared" si="16"/>
        <v>-2.8357382451320667</v>
      </c>
      <c r="E145" s="60">
        <f t="shared" si="17"/>
        <v>1.4190062419415312</v>
      </c>
      <c r="F145" s="60">
        <f t="shared" si="18"/>
        <v>1.1365172207915331E-2</v>
      </c>
      <c r="G145" s="60">
        <f t="shared" si="19"/>
        <v>-0.28683871187990206</v>
      </c>
      <c r="H145" s="60">
        <f t="shared" si="20"/>
        <v>-0.93237051852848607</v>
      </c>
      <c r="L145" s="12" t="s">
        <v>30</v>
      </c>
      <c r="M145" s="12">
        <v>15</v>
      </c>
    </row>
    <row r="146" spans="1:20" ht="18.75" x14ac:dyDescent="0.25">
      <c r="A146" s="7">
        <v>8</v>
      </c>
      <c r="B146" s="60">
        <f t="shared" si="15"/>
        <v>1.4466458211568822</v>
      </c>
      <c r="C146" s="60">
        <f t="shared" si="14"/>
        <v>3.5538600053049834</v>
      </c>
      <c r="D146" s="60">
        <f t="shared" si="16"/>
        <v>-3.1179661798286595</v>
      </c>
      <c r="E146" s="60">
        <f t="shared" si="17"/>
        <v>1.1733071639825852</v>
      </c>
      <c r="F146" s="60">
        <f t="shared" si="18"/>
        <v>4.8135597600624469E-2</v>
      </c>
      <c r="G146" s="60">
        <f t="shared" si="19"/>
        <v>-0.69656948010700859</v>
      </c>
      <c r="H146" s="60">
        <f t="shared" si="20"/>
        <v>-1.8892123903909699</v>
      </c>
    </row>
    <row r="147" spans="1:20" ht="19.5" thickBot="1" x14ac:dyDescent="0.3">
      <c r="A147" s="7">
        <v>9</v>
      </c>
      <c r="B147" s="60">
        <f t="shared" si="15"/>
        <v>-4.6277105445482345</v>
      </c>
      <c r="C147" s="60">
        <f t="shared" si="14"/>
        <v>-15.154784369244837</v>
      </c>
      <c r="D147" s="60">
        <f t="shared" si="16"/>
        <v>-13.319049299815353</v>
      </c>
      <c r="E147" s="60">
        <f t="shared" si="17"/>
        <v>-7.0127673540185498</v>
      </c>
      <c r="F147" s="60">
        <f t="shared" si="18"/>
        <v>-0.3018394868236508</v>
      </c>
      <c r="G147" s="60">
        <f t="shared" si="19"/>
        <v>-1.0088887157941855</v>
      </c>
      <c r="H147" s="60">
        <f t="shared" si="20"/>
        <v>22.5993127817352</v>
      </c>
      <c r="L147" s="5" t="s">
        <v>31</v>
      </c>
    </row>
    <row r="148" spans="1:20" ht="18.75" x14ac:dyDescent="0.25">
      <c r="A148" s="7">
        <v>10</v>
      </c>
      <c r="B148" s="60">
        <f t="shared" si="15"/>
        <v>1.6698814921384786</v>
      </c>
      <c r="C148" s="60">
        <f t="shared" si="14"/>
        <v>2.8512841932332158</v>
      </c>
      <c r="D148" s="60">
        <f t="shared" si="16"/>
        <v>1.819441417994561</v>
      </c>
      <c r="E148" s="60">
        <f t="shared" si="17"/>
        <v>0.67816379991455733</v>
      </c>
      <c r="F148" s="60">
        <f t="shared" si="18"/>
        <v>3.0176583420867598E-2</v>
      </c>
      <c r="G148" s="60">
        <f t="shared" si="19"/>
        <v>-4.209578454499443</v>
      </c>
      <c r="H148" s="60">
        <f t="shared" si="20"/>
        <v>-3.8906509946622205</v>
      </c>
      <c r="L148" s="75"/>
      <c r="M148" s="75" t="s">
        <v>36</v>
      </c>
      <c r="N148" s="75" t="s">
        <v>37</v>
      </c>
      <c r="O148" s="75" t="s">
        <v>38</v>
      </c>
      <c r="P148" s="75" t="s">
        <v>39</v>
      </c>
      <c r="Q148" s="75" t="s">
        <v>40</v>
      </c>
    </row>
    <row r="149" spans="1:20" ht="18.75" x14ac:dyDescent="0.25">
      <c r="A149" s="7">
        <v>11</v>
      </c>
      <c r="B149" s="60">
        <f t="shared" si="15"/>
        <v>0.60338968508956781</v>
      </c>
      <c r="C149" s="60">
        <f t="shared" si="14"/>
        <v>3.4655536092445427</v>
      </c>
      <c r="D149" s="60">
        <f t="shared" si="16"/>
        <v>3.3358024440517218</v>
      </c>
      <c r="E149" s="60">
        <f t="shared" si="17"/>
        <v>2.4755769044547691</v>
      </c>
      <c r="F149" s="60">
        <f t="shared" si="18"/>
        <v>4.0829182676179632E-2</v>
      </c>
      <c r="G149" s="60">
        <f t="shared" si="19"/>
        <v>-5.3350849412014156</v>
      </c>
      <c r="H149" s="60">
        <f t="shared" si="20"/>
        <v>-5.1778617544696939</v>
      </c>
      <c r="L149" s="5" t="s">
        <v>32</v>
      </c>
      <c r="M149" s="5">
        <v>1</v>
      </c>
      <c r="N149" s="5">
        <v>53.280227989216705</v>
      </c>
      <c r="O149" s="5">
        <v>53.280227989216705</v>
      </c>
      <c r="P149" s="5">
        <v>17.317517795560491</v>
      </c>
      <c r="Q149" s="5">
        <v>1.1171098589673528E-3</v>
      </c>
    </row>
    <row r="150" spans="1:20" ht="18.75" x14ac:dyDescent="0.25">
      <c r="A150" s="7">
        <v>12</v>
      </c>
      <c r="B150" s="60">
        <f t="shared" si="15"/>
        <v>0.29282417606487066</v>
      </c>
      <c r="C150" s="60">
        <f t="shared" si="14"/>
        <v>7.9209809449461446</v>
      </c>
      <c r="D150" s="60">
        <f t="shared" si="16"/>
        <v>4.1990718092874388</v>
      </c>
      <c r="E150" s="60">
        <f t="shared" si="17"/>
        <v>-0.20240965635758812</v>
      </c>
      <c r="F150" s="60">
        <f t="shared" si="18"/>
        <v>3.5340526701839736E-2</v>
      </c>
      <c r="G150" s="60">
        <f t="shared" si="19"/>
        <v>0.93838564793083634</v>
      </c>
      <c r="H150" s="60">
        <f t="shared" si="20"/>
        <v>-3.3964054117472227</v>
      </c>
      <c r="L150" s="5" t="s">
        <v>33</v>
      </c>
      <c r="M150" s="5">
        <v>13</v>
      </c>
      <c r="N150" s="5">
        <v>39.996665344116629</v>
      </c>
      <c r="O150" s="5">
        <v>3.0766665649320482</v>
      </c>
    </row>
    <row r="151" spans="1:20" ht="19.5" thickBot="1" x14ac:dyDescent="0.3">
      <c r="A151" s="7">
        <v>13</v>
      </c>
      <c r="B151" s="60">
        <f t="shared" si="15"/>
        <v>0.37046746624889249</v>
      </c>
      <c r="C151" s="60">
        <f t="shared" si="14"/>
        <v>1.1767390656638206</v>
      </c>
      <c r="D151" s="60">
        <f t="shared" si="16"/>
        <v>1.0749958310552419</v>
      </c>
      <c r="E151" s="60">
        <f t="shared" si="17"/>
        <v>0.64902398432276698</v>
      </c>
      <c r="F151" s="60">
        <f t="shared" si="18"/>
        <v>2.7930668499409506E-2</v>
      </c>
      <c r="G151" s="60">
        <f t="shared" si="19"/>
        <v>1.068475391855138</v>
      </c>
      <c r="H151" s="60">
        <f t="shared" si="20"/>
        <v>-2.8820193690347171</v>
      </c>
      <c r="L151" s="12" t="s">
        <v>34</v>
      </c>
      <c r="M151" s="12">
        <v>14</v>
      </c>
      <c r="N151" s="12">
        <v>93.276893333333334</v>
      </c>
      <c r="O151" s="12"/>
      <c r="P151" s="12"/>
      <c r="Q151" s="12"/>
    </row>
    <row r="152" spans="1:20" ht="19.5" thickBot="1" x14ac:dyDescent="0.3">
      <c r="A152" s="7">
        <v>14</v>
      </c>
      <c r="B152" s="60">
        <f t="shared" si="15"/>
        <v>1.3672317952672941</v>
      </c>
      <c r="C152" s="60">
        <f t="shared" si="14"/>
        <v>4.6693148777355873</v>
      </c>
      <c r="D152" s="60">
        <f t="shared" si="16"/>
        <v>10.527588233232022</v>
      </c>
      <c r="E152" s="60">
        <f t="shared" si="17"/>
        <v>1.7441673483907891</v>
      </c>
      <c r="F152" s="60">
        <f t="shared" si="18"/>
        <v>2.2889682679166468E-2</v>
      </c>
      <c r="G152" s="60">
        <f t="shared" si="19"/>
        <v>3.9814843662475639</v>
      </c>
      <c r="H152" s="60">
        <f t="shared" si="20"/>
        <v>-3.8805807647634669</v>
      </c>
    </row>
    <row r="153" spans="1:20" ht="18.75" x14ac:dyDescent="0.25">
      <c r="A153" s="7">
        <v>15</v>
      </c>
      <c r="B153" s="60">
        <f t="shared" si="15"/>
        <v>-2.2610102824014673</v>
      </c>
      <c r="C153" s="60">
        <f t="shared" si="14"/>
        <v>2.6756794950274028</v>
      </c>
      <c r="D153" s="60">
        <f t="shared" si="16"/>
        <v>9.8942514724140658</v>
      </c>
      <c r="E153" s="60">
        <f t="shared" si="17"/>
        <v>3.1567479016154181</v>
      </c>
      <c r="F153" s="60">
        <f t="shared" si="18"/>
        <v>3.4151937914791985E-2</v>
      </c>
      <c r="G153" s="60">
        <f t="shared" si="19"/>
        <v>-3.0843540946886989</v>
      </c>
      <c r="H153" s="60">
        <f t="shared" si="20"/>
        <v>-3.8546858878809571</v>
      </c>
      <c r="L153" s="75"/>
      <c r="M153" s="75" t="s">
        <v>41</v>
      </c>
      <c r="N153" s="75" t="s">
        <v>29</v>
      </c>
      <c r="O153" s="75" t="s">
        <v>42</v>
      </c>
      <c r="P153" s="75" t="s">
        <v>43</v>
      </c>
      <c r="Q153" s="75" t="s">
        <v>44</v>
      </c>
      <c r="R153" s="75" t="s">
        <v>45</v>
      </c>
      <c r="S153" s="75" t="s">
        <v>46</v>
      </c>
      <c r="T153" s="75" t="s">
        <v>47</v>
      </c>
    </row>
    <row r="154" spans="1:20" ht="15" customHeight="1" x14ac:dyDescent="0.25">
      <c r="A154" s="128" t="s">
        <v>247</v>
      </c>
      <c r="B154" s="128"/>
      <c r="C154" s="128"/>
      <c r="D154" s="128"/>
      <c r="E154" s="128"/>
      <c r="F154" s="128"/>
      <c r="G154" s="128"/>
      <c r="H154" s="128"/>
      <c r="L154" s="5" t="s">
        <v>17</v>
      </c>
      <c r="M154" s="43">
        <v>7.691010282401467</v>
      </c>
      <c r="N154" s="5">
        <v>0.48847923843312258</v>
      </c>
      <c r="O154" s="5">
        <v>15.744804849990444</v>
      </c>
      <c r="P154" s="5">
        <v>7.5819148511454781E-10</v>
      </c>
      <c r="Q154" s="5">
        <v>6.6357150463577339</v>
      </c>
      <c r="R154" s="5">
        <v>8.746305518445201</v>
      </c>
      <c r="S154" s="5">
        <v>6.6357150463577339</v>
      </c>
      <c r="T154" s="5">
        <v>8.746305518445201</v>
      </c>
    </row>
    <row r="155" spans="1:20" ht="15.75" thickBot="1" x14ac:dyDescent="0.3">
      <c r="A155" s="129"/>
      <c r="B155" s="129"/>
      <c r="C155" s="129"/>
      <c r="D155" s="129"/>
      <c r="E155" s="129"/>
      <c r="F155" s="129"/>
      <c r="G155" s="129"/>
      <c r="H155" s="129"/>
      <c r="L155" s="12" t="s">
        <v>135</v>
      </c>
      <c r="M155" s="44">
        <v>-3.2356709815978504E-2</v>
      </c>
      <c r="N155" s="12">
        <v>7.7753783817777504E-3</v>
      </c>
      <c r="O155" s="12">
        <v>-4.161432180819542</v>
      </c>
      <c r="P155" s="12">
        <v>1.1171098589673541E-3</v>
      </c>
      <c r="Q155" s="12">
        <v>-4.9154393564109541E-2</v>
      </c>
      <c r="R155" s="12">
        <v>-1.5559026067847464E-2</v>
      </c>
      <c r="S155" s="12">
        <v>-4.9154393564109541E-2</v>
      </c>
      <c r="T155" s="12">
        <v>-1.5559026067847464E-2</v>
      </c>
    </row>
    <row r="156" spans="1:20" x14ac:dyDescent="0.25">
      <c r="L156"/>
      <c r="M156"/>
      <c r="N156"/>
      <c r="O156"/>
      <c r="P156"/>
      <c r="Q156"/>
      <c r="R156"/>
      <c r="S156"/>
      <c r="T156"/>
    </row>
    <row r="157" spans="1:20" x14ac:dyDescent="0.25">
      <c r="A157" s="130" t="s">
        <v>248</v>
      </c>
      <c r="B157" s="130"/>
      <c r="C157" s="130"/>
      <c r="D157" s="130"/>
      <c r="E157" s="130"/>
      <c r="F157" s="130"/>
      <c r="L157"/>
      <c r="M157"/>
      <c r="N157"/>
      <c r="O157"/>
      <c r="P157"/>
      <c r="Q157"/>
      <c r="R157"/>
      <c r="S157"/>
      <c r="T157"/>
    </row>
    <row r="158" spans="1:20" ht="19.5" thickBot="1" x14ac:dyDescent="0.35">
      <c r="A158" s="7" t="s">
        <v>249</v>
      </c>
      <c r="B158" s="7" t="s">
        <v>235</v>
      </c>
      <c r="C158" s="7" t="s">
        <v>237</v>
      </c>
      <c r="D158" s="7" t="s">
        <v>238</v>
      </c>
      <c r="E158" s="7" t="s">
        <v>239</v>
      </c>
      <c r="F158" s="7" t="s">
        <v>240</v>
      </c>
      <c r="L158" s="107" t="s">
        <v>250</v>
      </c>
    </row>
    <row r="159" spans="1:20" x14ac:dyDescent="0.25">
      <c r="A159" s="40">
        <f>CORREL($B$139:$B$153, C139:C153)</f>
        <v>0.72346479844151634</v>
      </c>
      <c r="B159" s="40">
        <f t="shared" ref="B159:E159" si="21">CORREL($B$139:$B$153, D139:D153)</f>
        <v>0.47818357200235545</v>
      </c>
      <c r="C159" s="40">
        <f>CORREL($B$139:$B$153, E139:E153)</f>
        <v>0.56246725714561596</v>
      </c>
      <c r="D159" s="40">
        <f t="shared" si="21"/>
        <v>0.7974705512698339</v>
      </c>
      <c r="E159" s="40">
        <f t="shared" si="21"/>
        <v>-0.17007811778474224</v>
      </c>
      <c r="F159" s="40">
        <f>CORREL($B$139:$B$153, H139:H153)</f>
        <v>-0.7493296566479718</v>
      </c>
      <c r="L159" s="75"/>
      <c r="M159" s="75" t="s">
        <v>41</v>
      </c>
      <c r="N159" s="75" t="s">
        <v>29</v>
      </c>
      <c r="O159" s="75" t="s">
        <v>42</v>
      </c>
      <c r="P159" s="75" t="s">
        <v>43</v>
      </c>
      <c r="Q159" s="75" t="s">
        <v>44</v>
      </c>
      <c r="R159" s="75" t="s">
        <v>45</v>
      </c>
      <c r="S159" s="75" t="s">
        <v>46</v>
      </c>
      <c r="T159" s="75" t="s">
        <v>47</v>
      </c>
    </row>
    <row r="160" spans="1:20" x14ac:dyDescent="0.25">
      <c r="L160" s="5" t="s">
        <v>17</v>
      </c>
      <c r="M160" s="5">
        <v>18.944320504972598</v>
      </c>
      <c r="N160" s="5">
        <v>1.618760414947461</v>
      </c>
      <c r="O160" s="5">
        <v>11.702979841885657</v>
      </c>
      <c r="P160" s="5">
        <v>2.8209822737778778E-8</v>
      </c>
      <c r="Q160" s="5">
        <v>15.4472012421974</v>
      </c>
      <c r="R160" s="5">
        <v>22.441439767747799</v>
      </c>
      <c r="S160" s="5">
        <v>15.4472012421974</v>
      </c>
      <c r="T160" s="5">
        <v>22.441439767747799</v>
      </c>
    </row>
    <row r="161" spans="12:20" ht="15.75" thickBot="1" x14ac:dyDescent="0.3">
      <c r="L161" s="12" t="s">
        <v>135</v>
      </c>
      <c r="M161" s="12">
        <v>-7.4241879282325285E-2</v>
      </c>
      <c r="N161" s="12">
        <v>2.576665238840704E-2</v>
      </c>
      <c r="O161" s="12">
        <v>-2.8813164458929972</v>
      </c>
      <c r="P161" s="12">
        <v>1.2860872542687642E-2</v>
      </c>
      <c r="Q161" s="12">
        <v>-0.12990734748421201</v>
      </c>
      <c r="R161" s="12">
        <v>-1.857641108043856E-2</v>
      </c>
      <c r="S161" s="12">
        <v>-0.12990734748421201</v>
      </c>
      <c r="T161" s="12">
        <v>-1.857641108043856E-2</v>
      </c>
    </row>
    <row r="164" spans="12:20" ht="19.5" thickBot="1" x14ac:dyDescent="0.35">
      <c r="L164" s="107" t="s">
        <v>241</v>
      </c>
    </row>
    <row r="165" spans="12:20" x14ac:dyDescent="0.25">
      <c r="L165" s="75"/>
      <c r="M165" s="75" t="s">
        <v>41</v>
      </c>
      <c r="N165" s="75" t="s">
        <v>29</v>
      </c>
      <c r="O165" s="75" t="s">
        <v>42</v>
      </c>
      <c r="P165" s="75" t="s">
        <v>43</v>
      </c>
      <c r="Q165" s="75" t="s">
        <v>44</v>
      </c>
      <c r="R165" s="75" t="s">
        <v>45</v>
      </c>
      <c r="S165" s="75" t="s">
        <v>46</v>
      </c>
      <c r="T165" s="75" t="s">
        <v>47</v>
      </c>
    </row>
    <row r="166" spans="12:20" x14ac:dyDescent="0.25">
      <c r="L166" s="5" t="s">
        <v>17</v>
      </c>
      <c r="M166" s="5">
        <v>14.805748527585934</v>
      </c>
      <c r="N166" s="5">
        <v>1.7858176782637789</v>
      </c>
      <c r="O166" s="5">
        <v>8.2907391430800992</v>
      </c>
      <c r="P166" s="5">
        <v>1.509514927695342E-6</v>
      </c>
      <c r="Q166" s="5">
        <v>10.947723989307709</v>
      </c>
      <c r="R166" s="5">
        <v>18.663773065864156</v>
      </c>
      <c r="S166" s="5">
        <v>10.947723989307709</v>
      </c>
      <c r="T166" s="5">
        <v>18.663773065864156</v>
      </c>
    </row>
    <row r="167" spans="12:20" ht="15.75" thickBot="1" x14ac:dyDescent="0.3">
      <c r="L167" s="12" t="s">
        <v>135</v>
      </c>
      <c r="M167" s="12">
        <v>-7.4075978232197637E-2</v>
      </c>
      <c r="N167" s="12">
        <v>2.842578983276433E-2</v>
      </c>
      <c r="O167" s="12">
        <v>-2.6059426551734957</v>
      </c>
      <c r="P167" s="12">
        <v>2.1759212798316521E-2</v>
      </c>
      <c r="Q167" s="12">
        <v>-0.13548616362210042</v>
      </c>
      <c r="R167" s="12">
        <v>-1.2665792842294854E-2</v>
      </c>
      <c r="S167" s="12">
        <v>-0.13548616362210042</v>
      </c>
      <c r="T167" s="12">
        <v>-1.2665792842294854E-2</v>
      </c>
    </row>
    <row r="170" spans="12:20" ht="19.5" thickBot="1" x14ac:dyDescent="0.35">
      <c r="L170" s="107" t="s">
        <v>243</v>
      </c>
    </row>
    <row r="171" spans="12:20" x14ac:dyDescent="0.25">
      <c r="L171" s="75"/>
      <c r="M171" s="75" t="s">
        <v>41</v>
      </c>
      <c r="N171" s="75" t="s">
        <v>29</v>
      </c>
      <c r="O171" s="75" t="s">
        <v>42</v>
      </c>
      <c r="P171" s="75" t="s">
        <v>43</v>
      </c>
      <c r="Q171" s="75" t="s">
        <v>44</v>
      </c>
      <c r="R171" s="75" t="s">
        <v>45</v>
      </c>
      <c r="S171" s="75" t="s">
        <v>46</v>
      </c>
      <c r="T171" s="75" t="s">
        <v>47</v>
      </c>
    </row>
    <row r="172" spans="12:20" x14ac:dyDescent="0.25">
      <c r="L172" s="5" t="s">
        <v>17</v>
      </c>
      <c r="M172" s="5">
        <v>76.343252098384582</v>
      </c>
      <c r="N172" s="5">
        <v>0.83882950239776244</v>
      </c>
      <c r="O172" s="5">
        <v>91.011644058965828</v>
      </c>
      <c r="P172" s="5">
        <v>1.2731049255911606E-19</v>
      </c>
      <c r="Q172" s="5">
        <v>74.531071133288179</v>
      </c>
      <c r="R172" s="5">
        <v>78.155433063480984</v>
      </c>
      <c r="S172" s="5">
        <v>74.531071133288179</v>
      </c>
      <c r="T172" s="5">
        <v>78.155433063480984</v>
      </c>
    </row>
    <row r="173" spans="12:20" ht="15.75" thickBot="1" x14ac:dyDescent="0.3">
      <c r="L173" s="12" t="s">
        <v>135</v>
      </c>
      <c r="M173" s="12">
        <v>-4.8566359319650892E-2</v>
      </c>
      <c r="N173" s="12">
        <v>1.3352085955304941E-2</v>
      </c>
      <c r="O173" s="12">
        <v>-3.6373611945146975</v>
      </c>
      <c r="P173" s="12">
        <v>3.0091016523607892E-3</v>
      </c>
      <c r="Q173" s="12">
        <v>-7.7411787315888755E-2</v>
      </c>
      <c r="R173" s="12">
        <v>-1.9720931323413033E-2</v>
      </c>
      <c r="S173" s="12">
        <v>-7.7411787315888755E-2</v>
      </c>
      <c r="T173" s="12">
        <v>-1.9720931323413033E-2</v>
      </c>
    </row>
    <row r="176" spans="12:20" ht="19.5" thickBot="1" x14ac:dyDescent="0.35">
      <c r="L176" s="107" t="s">
        <v>244</v>
      </c>
    </row>
    <row r="177" spans="1:20" x14ac:dyDescent="0.25">
      <c r="L177" s="75"/>
      <c r="M177" s="75" t="s">
        <v>41</v>
      </c>
      <c r="N177" s="75" t="s">
        <v>29</v>
      </c>
      <c r="O177" s="75" t="s">
        <v>42</v>
      </c>
      <c r="P177" s="75" t="s">
        <v>43</v>
      </c>
      <c r="Q177" s="75" t="s">
        <v>44</v>
      </c>
      <c r="R177" s="75" t="s">
        <v>45</v>
      </c>
      <c r="S177" s="75" t="s">
        <v>46</v>
      </c>
      <c r="T177" s="75" t="s">
        <v>47</v>
      </c>
    </row>
    <row r="178" spans="1:20" x14ac:dyDescent="0.25">
      <c r="L178" s="5" t="s">
        <v>17</v>
      </c>
      <c r="M178" s="5">
        <v>0.90284806208520807</v>
      </c>
      <c r="N178" s="5">
        <v>2.5343151493566848E-2</v>
      </c>
      <c r="O178" s="5">
        <v>35.624932531156936</v>
      </c>
      <c r="P178" s="5">
        <v>2.3856248654489686E-14</v>
      </c>
      <c r="Q178" s="5">
        <v>0.84809751194251803</v>
      </c>
      <c r="R178" s="5">
        <v>0.9575986122278981</v>
      </c>
      <c r="S178" s="5">
        <v>0.84809751194251803</v>
      </c>
      <c r="T178" s="5">
        <v>0.9575986122278981</v>
      </c>
    </row>
    <row r="179" spans="1:20" ht="19.5" thickBot="1" x14ac:dyDescent="0.3">
      <c r="A179" s="112" t="s">
        <v>135</v>
      </c>
      <c r="B179" s="112" t="s">
        <v>137</v>
      </c>
      <c r="L179" s="12" t="s">
        <v>135</v>
      </c>
      <c r="M179" s="12">
        <v>-4.0985820243024979E-4</v>
      </c>
      <c r="N179" s="12">
        <v>4.0340013811288424E-4</v>
      </c>
      <c r="O179" s="12">
        <v>-1.0160090781018978</v>
      </c>
      <c r="P179" s="12">
        <v>0.3281621170643465</v>
      </c>
      <c r="Q179" s="12">
        <v>-1.2813512168220863E-3</v>
      </c>
      <c r="R179" s="12">
        <v>4.6163481196158688E-4</v>
      </c>
      <c r="S179" s="12">
        <v>-1.2813512168220863E-3</v>
      </c>
      <c r="T179" s="12">
        <v>4.6163481196158688E-4</v>
      </c>
    </row>
    <row r="180" spans="1:20" ht="18.75" x14ac:dyDescent="0.25">
      <c r="A180" s="65">
        <v>2.2999999999999998</v>
      </c>
      <c r="B180" s="65">
        <v>0.92500000000000004</v>
      </c>
    </row>
    <row r="181" spans="1:20" ht="18.75" x14ac:dyDescent="0.25">
      <c r="A181" s="65">
        <v>3.3</v>
      </c>
      <c r="B181" s="65">
        <v>0.91600000000000004</v>
      </c>
    </row>
    <row r="182" spans="1:20" ht="19.5" thickBot="1" x14ac:dyDescent="0.35">
      <c r="A182" s="65">
        <v>73.8</v>
      </c>
      <c r="B182" s="65">
        <v>0.80400000000000005</v>
      </c>
      <c r="L182" s="107" t="s">
        <v>245</v>
      </c>
    </row>
    <row r="183" spans="1:20" ht="18.75" x14ac:dyDescent="0.25">
      <c r="A183" s="65">
        <v>2</v>
      </c>
      <c r="B183" s="65">
        <v>0.92100000000000004</v>
      </c>
      <c r="L183" s="75"/>
      <c r="M183" s="75" t="s">
        <v>41</v>
      </c>
      <c r="N183" s="75" t="s">
        <v>29</v>
      </c>
      <c r="O183" s="75" t="s">
        <v>42</v>
      </c>
      <c r="P183" s="75" t="s">
        <v>43</v>
      </c>
      <c r="Q183" s="75" t="s">
        <v>44</v>
      </c>
      <c r="R183" s="75" t="s">
        <v>45</v>
      </c>
      <c r="S183" s="75" t="s">
        <v>46</v>
      </c>
      <c r="T183" s="75" t="s">
        <v>47</v>
      </c>
    </row>
    <row r="184" spans="1:20" ht="18.75" x14ac:dyDescent="0.25">
      <c r="A184" s="65">
        <v>2</v>
      </c>
      <c r="B184" s="65">
        <v>0.93600000000000005</v>
      </c>
      <c r="L184" s="5" t="s">
        <v>17</v>
      </c>
      <c r="M184" s="5">
        <v>40.584354094688699</v>
      </c>
      <c r="N184" s="5">
        <v>1.603623619313131</v>
      </c>
      <c r="O184" s="5">
        <v>25.307904926014942</v>
      </c>
      <c r="P184" s="5">
        <v>1.9141699808209375E-12</v>
      </c>
      <c r="Q184" s="5">
        <v>37.119935890761191</v>
      </c>
      <c r="R184" s="5">
        <v>44.048772298616207</v>
      </c>
      <c r="S184" s="5">
        <v>37.119935890761191</v>
      </c>
      <c r="T184" s="5">
        <v>44.048772298616207</v>
      </c>
    </row>
    <row r="185" spans="1:20" ht="19.5" thickBot="1" x14ac:dyDescent="0.3">
      <c r="A185" s="65">
        <v>4.7</v>
      </c>
      <c r="B185" s="65">
        <v>0.93</v>
      </c>
      <c r="L185" s="12" t="s">
        <v>135</v>
      </c>
      <c r="M185" s="12">
        <v>0.13008974392429745</v>
      </c>
      <c r="N185" s="12">
        <v>2.5525712130798382E-2</v>
      </c>
      <c r="O185" s="12">
        <v>5.0964197691211899</v>
      </c>
      <c r="P185" s="12">
        <v>2.0502615733442037E-4</v>
      </c>
      <c r="Q185" s="12">
        <v>7.4944795503028544E-2</v>
      </c>
      <c r="R185" s="12">
        <v>0.18523469234556636</v>
      </c>
      <c r="S185" s="12">
        <v>7.4944795503028544E-2</v>
      </c>
      <c r="T185" s="12">
        <v>0.18523469234556636</v>
      </c>
    </row>
    <row r="186" spans="1:20" ht="18.75" x14ac:dyDescent="0.25">
      <c r="A186" s="65">
        <v>5.4</v>
      </c>
      <c r="B186" s="65">
        <v>0.91200000000000003</v>
      </c>
    </row>
    <row r="187" spans="1:20" ht="18.75" x14ac:dyDescent="0.25">
      <c r="A187" s="65">
        <v>2.4</v>
      </c>
      <c r="B187" s="65">
        <v>0.95</v>
      </c>
    </row>
    <row r="188" spans="1:20" ht="19.5" thickBot="1" x14ac:dyDescent="0.35">
      <c r="A188" s="65">
        <v>17.100000000000001</v>
      </c>
      <c r="B188" s="65">
        <v>0.59399999999999997</v>
      </c>
      <c r="L188" s="107" t="s">
        <v>246</v>
      </c>
    </row>
    <row r="189" spans="1:20" ht="18.75" x14ac:dyDescent="0.25">
      <c r="A189" s="65">
        <v>2.5</v>
      </c>
      <c r="B189" s="65">
        <v>0.93200000000000005</v>
      </c>
      <c r="L189" s="75"/>
      <c r="M189" s="75" t="s">
        <v>41</v>
      </c>
      <c r="N189" s="75" t="s">
        <v>29</v>
      </c>
      <c r="O189" s="75" t="s">
        <v>42</v>
      </c>
      <c r="P189" s="75" t="s">
        <v>43</v>
      </c>
      <c r="Q189" s="75" t="s">
        <v>44</v>
      </c>
      <c r="R189" s="75" t="s">
        <v>45</v>
      </c>
      <c r="S189" s="75" t="s">
        <v>46</v>
      </c>
      <c r="T189" s="75" t="s">
        <v>47</v>
      </c>
    </row>
    <row r="190" spans="1:20" ht="18.75" x14ac:dyDescent="0.25">
      <c r="A190" s="65">
        <v>231</v>
      </c>
      <c r="B190" s="65">
        <v>0.84899999999999998</v>
      </c>
      <c r="L190" s="5" t="s">
        <v>17</v>
      </c>
      <c r="M190" s="5">
        <v>3.8546858878809571</v>
      </c>
      <c r="N190" s="5">
        <v>2.1443089233113812</v>
      </c>
      <c r="O190" s="5">
        <v>1.7976355206918138</v>
      </c>
      <c r="P190" s="5">
        <v>9.5489440819103183E-2</v>
      </c>
      <c r="Q190" s="5">
        <v>-0.777811899814429</v>
      </c>
      <c r="R190" s="5">
        <v>8.4871836755763432</v>
      </c>
      <c r="S190" s="5">
        <v>-0.777811899814429</v>
      </c>
      <c r="T190" s="5">
        <v>8.4871836755763432</v>
      </c>
    </row>
    <row r="191" spans="1:20" ht="19.5" thickBot="1" x14ac:dyDescent="0.3">
      <c r="A191" s="65">
        <v>2.9</v>
      </c>
      <c r="B191" s="65">
        <v>0.93700000000000006</v>
      </c>
      <c r="L191" s="12" t="s">
        <v>135</v>
      </c>
      <c r="M191" s="12">
        <v>1.4386042712505355E-2</v>
      </c>
      <c r="N191" s="12">
        <v>3.4132081641072856E-2</v>
      </c>
      <c r="O191" s="12">
        <v>0.42148155110451579</v>
      </c>
      <c r="P191" s="12">
        <v>0.68028920930894665</v>
      </c>
      <c r="Q191" s="12">
        <v>-5.9351836644697557E-2</v>
      </c>
      <c r="R191" s="12">
        <v>8.812392206970826E-2</v>
      </c>
      <c r="S191" s="12">
        <v>-5.9351836644697557E-2</v>
      </c>
      <c r="T191" s="12">
        <v>8.812392206970826E-2</v>
      </c>
    </row>
    <row r="192" spans="1:20" ht="18.75" x14ac:dyDescent="0.25">
      <c r="A192" s="65">
        <v>1.9</v>
      </c>
      <c r="B192" s="65">
        <v>0.93</v>
      </c>
      <c r="L192"/>
      <c r="M192"/>
      <c r="N192"/>
      <c r="O192"/>
      <c r="P192"/>
      <c r="Q192"/>
      <c r="R192"/>
      <c r="S192"/>
      <c r="T192"/>
    </row>
    <row r="193" spans="1:20" ht="18.75" x14ac:dyDescent="0.25">
      <c r="A193" s="65">
        <v>1.8</v>
      </c>
      <c r="B193" s="65">
        <v>0.92500000000000004</v>
      </c>
      <c r="L193"/>
      <c r="M193"/>
      <c r="N193"/>
      <c r="O193"/>
      <c r="P193"/>
      <c r="Q193"/>
      <c r="R193"/>
      <c r="S193"/>
      <c r="T193"/>
    </row>
    <row r="194" spans="1:20" ht="18.75" x14ac:dyDescent="0.25">
      <c r="A194" s="65">
        <v>0</v>
      </c>
      <c r="B194" s="65">
        <v>0.93700000000000006</v>
      </c>
      <c r="L194"/>
      <c r="M194"/>
      <c r="N194"/>
      <c r="O194"/>
      <c r="P194"/>
      <c r="Q194"/>
      <c r="R194"/>
      <c r="S194"/>
      <c r="T194"/>
    </row>
    <row r="202" spans="1:20" ht="18.75" x14ac:dyDescent="0.25">
      <c r="A202" s="7" t="s">
        <v>234</v>
      </c>
      <c r="B202" s="7" t="s">
        <v>157</v>
      </c>
      <c r="C202" s="7" t="s">
        <v>249</v>
      </c>
      <c r="D202" s="7" t="s">
        <v>235</v>
      </c>
      <c r="E202" s="7" t="s">
        <v>237</v>
      </c>
      <c r="F202" s="7" t="s">
        <v>239</v>
      </c>
      <c r="G202" s="7" t="s">
        <v>240</v>
      </c>
      <c r="L202" s="5" t="s">
        <v>24</v>
      </c>
    </row>
    <row r="203" spans="1:20" ht="19.5" thickBot="1" x14ac:dyDescent="0.3">
      <c r="A203" s="7">
        <v>1</v>
      </c>
      <c r="B203" s="60">
        <f xml:space="preserve"> B2 - ($M$218 + $M$219*E2+$M$220*G2)</f>
        <v>1.1984244891490929</v>
      </c>
      <c r="C203" s="60">
        <f xml:space="preserve"> C2 - ($M$225 + $M$226*E2+$M$227*G2)</f>
        <v>0.41902081227188503</v>
      </c>
      <c r="D203" s="60">
        <f xml:space="preserve"> D2 - ($M$232 + $M$233*E2+$M$234*G2)</f>
        <v>0.24706049883832115</v>
      </c>
      <c r="E203" s="60">
        <f xml:space="preserve"> F2 - ($M$239 + $M$240*E2+$M$241*G2)</f>
        <v>-0.67292961148514507</v>
      </c>
      <c r="F203" s="60">
        <f xml:space="preserve"> H2 - ($M$246 + $M$247*E2+$M$248*G2)</f>
        <v>-2.5589908988609835</v>
      </c>
      <c r="G203" s="60">
        <f xml:space="preserve"> I2 - ($M$253 + $M$254*E2+$M$255*G2)</f>
        <v>-3.1335022013848857E-2</v>
      </c>
    </row>
    <row r="204" spans="1:20" ht="18.75" x14ac:dyDescent="0.25">
      <c r="A204" s="7">
        <v>2</v>
      </c>
      <c r="B204" s="60">
        <f t="shared" ref="B204:B217" si="22" xml:space="preserve"> B3 - ($M$218 + $M$219*E3+$M$220*G3)</f>
        <v>-0.95718033278453962</v>
      </c>
      <c r="C204" s="60">
        <f t="shared" ref="C204:C217" si="23" xml:space="preserve"> C3 - ($M$225 + $M$226*E3+$M$227*G3)</f>
        <v>-1.5753167574639804</v>
      </c>
      <c r="D204" s="60">
        <f t="shared" ref="D204:D217" si="24" xml:space="preserve"> D3 - ($M$232 + $M$233*E3+$M$234*G3)</f>
        <v>-3.2768996109333806</v>
      </c>
      <c r="E204" s="60">
        <f t="shared" ref="E204:E217" si="25" xml:space="preserve"> F3 - ($M$239 + $M$240*E3+$M$241*G3)</f>
        <v>-0.38579910581178467</v>
      </c>
      <c r="F204" s="60">
        <f t="shared" ref="F204:F217" si="26" xml:space="preserve"> H3 - ($M$246 + $M$247*E3+$M$248*G3)</f>
        <v>3.4901942732614799</v>
      </c>
      <c r="G204" s="60">
        <f t="shared" ref="G204:G217" si="27" xml:space="preserve"> I3 - ($M$253 + $M$254*E3+$M$255*G3)</f>
        <v>-1.7362315774738022</v>
      </c>
      <c r="L204" s="76" t="s">
        <v>25</v>
      </c>
      <c r="M204" s="76"/>
    </row>
    <row r="205" spans="1:20" ht="18.75" x14ac:dyDescent="0.25">
      <c r="A205" s="7">
        <v>3</v>
      </c>
      <c r="B205" s="60">
        <f t="shared" si="22"/>
        <v>5.1368796510536718E-2</v>
      </c>
      <c r="C205" s="60">
        <f t="shared" si="23"/>
        <v>-3.9605242627840784</v>
      </c>
      <c r="D205" s="60">
        <f t="shared" si="24"/>
        <v>-3.8990141094245545</v>
      </c>
      <c r="E205" s="60">
        <f t="shared" si="25"/>
        <v>-4.5538911071413537</v>
      </c>
      <c r="F205" s="60">
        <f t="shared" si="26"/>
        <v>16.350917140975255</v>
      </c>
      <c r="G205" s="60">
        <f t="shared" si="27"/>
        <v>6.2692349898496467</v>
      </c>
      <c r="L205" s="5" t="s">
        <v>26</v>
      </c>
      <c r="M205" s="5">
        <v>0.91864093096641841</v>
      </c>
    </row>
    <row r="206" spans="1:20" ht="18.75" x14ac:dyDescent="0.25">
      <c r="A206" s="7">
        <v>4</v>
      </c>
      <c r="B206" s="60">
        <f t="shared" si="22"/>
        <v>0.72209116672128282</v>
      </c>
      <c r="C206" s="60">
        <f t="shared" si="23"/>
        <v>0.10301306734749005</v>
      </c>
      <c r="D206" s="60">
        <f t="shared" si="24"/>
        <v>1.142565487347305</v>
      </c>
      <c r="E206" s="60">
        <f t="shared" si="25"/>
        <v>-0.77299735502691647</v>
      </c>
      <c r="F206" s="60">
        <f t="shared" si="26"/>
        <v>-0.27790765080708013</v>
      </c>
      <c r="G206" s="60">
        <f t="shared" si="27"/>
        <v>-1.3584392878592553</v>
      </c>
      <c r="L206" s="5" t="s">
        <v>27</v>
      </c>
      <c r="M206" s="5">
        <v>0.84390116004684801</v>
      </c>
    </row>
    <row r="207" spans="1:20" ht="18.75" x14ac:dyDescent="0.25">
      <c r="A207" s="7">
        <v>5</v>
      </c>
      <c r="B207" s="60">
        <f t="shared" si="22"/>
        <v>0.22152721673896636</v>
      </c>
      <c r="C207" s="60">
        <f t="shared" si="23"/>
        <v>-2.5901757031484358</v>
      </c>
      <c r="D207" s="60">
        <f t="shared" si="24"/>
        <v>-1.1168008311097086</v>
      </c>
      <c r="E207" s="60">
        <f t="shared" si="25"/>
        <v>0.2104248655098786</v>
      </c>
      <c r="F207" s="60">
        <f t="shared" si="26"/>
        <v>-3.467098993398082</v>
      </c>
      <c r="G207" s="60">
        <f t="shared" si="27"/>
        <v>0.84732168038716793</v>
      </c>
      <c r="L207" s="5" t="s">
        <v>28</v>
      </c>
      <c r="M207" s="5">
        <v>0.81788468672132275</v>
      </c>
    </row>
    <row r="208" spans="1:20" ht="18.75" x14ac:dyDescent="0.25">
      <c r="A208" s="7">
        <v>6</v>
      </c>
      <c r="B208" s="60">
        <f t="shared" si="22"/>
        <v>-0.16589382146025944</v>
      </c>
      <c r="C208" s="60">
        <f t="shared" si="23"/>
        <v>-5.9011774414403071</v>
      </c>
      <c r="D208" s="60">
        <f t="shared" si="24"/>
        <v>-7.1221200360108732</v>
      </c>
      <c r="E208" s="60">
        <f t="shared" si="25"/>
        <v>0.6774523398828336</v>
      </c>
      <c r="F208" s="60">
        <f t="shared" si="26"/>
        <v>-4.1871124666284558</v>
      </c>
      <c r="G208" s="60">
        <f t="shared" si="27"/>
        <v>3.4151293619059118</v>
      </c>
      <c r="L208" s="5" t="s">
        <v>29</v>
      </c>
      <c r="M208" s="5">
        <v>1.1015298015248016</v>
      </c>
    </row>
    <row r="209" spans="1:20" ht="19.5" thickBot="1" x14ac:dyDescent="0.3">
      <c r="A209" s="7">
        <v>7</v>
      </c>
      <c r="B209" s="60">
        <f t="shared" si="22"/>
        <v>-0.89097731582759465</v>
      </c>
      <c r="C209" s="60">
        <f t="shared" si="23"/>
        <v>-1.0771264992685978</v>
      </c>
      <c r="D209" s="60">
        <f t="shared" si="24"/>
        <v>-3.3807863844545949</v>
      </c>
      <c r="E209" s="60">
        <f t="shared" si="25"/>
        <v>1.1033743618354919</v>
      </c>
      <c r="F209" s="60">
        <f t="shared" si="26"/>
        <v>-0.12711359892173846</v>
      </c>
      <c r="G209" s="60">
        <f t="shared" si="27"/>
        <v>-1.8791782148269931E-2</v>
      </c>
      <c r="L209" s="12" t="s">
        <v>30</v>
      </c>
      <c r="M209" s="12">
        <v>15</v>
      </c>
    </row>
    <row r="210" spans="1:20" ht="18.75" x14ac:dyDescent="0.25">
      <c r="A210" s="7">
        <v>8</v>
      </c>
      <c r="B210" s="60">
        <f t="shared" si="22"/>
        <v>0.70675691998626711</v>
      </c>
      <c r="C210" s="60">
        <f t="shared" si="23"/>
        <v>0.91221444490867043</v>
      </c>
      <c r="D210" s="60">
        <f t="shared" si="24"/>
        <v>-5.426441355341284</v>
      </c>
      <c r="E210" s="60">
        <f t="shared" si="25"/>
        <v>-0.16350752679093716</v>
      </c>
      <c r="F210" s="60">
        <f t="shared" si="26"/>
        <v>-2.0076099855877771E-2</v>
      </c>
      <c r="G210" s="60">
        <f t="shared" si="27"/>
        <v>1.9801225942789813</v>
      </c>
    </row>
    <row r="211" spans="1:20" ht="19.5" thickBot="1" x14ac:dyDescent="0.3">
      <c r="A211" s="7">
        <v>9</v>
      </c>
      <c r="B211" s="60">
        <f t="shared" si="22"/>
        <v>1.1843078298144682E-2</v>
      </c>
      <c r="C211" s="60">
        <f t="shared" si="23"/>
        <v>1.4099407004539626</v>
      </c>
      <c r="D211" s="60">
        <f t="shared" si="24"/>
        <v>1.1564947269368571</v>
      </c>
      <c r="E211" s="60">
        <f t="shared" si="25"/>
        <v>1.3698741910021965</v>
      </c>
      <c r="F211" s="60">
        <f t="shared" si="26"/>
        <v>-5.2509138471483467</v>
      </c>
      <c r="G211" s="60">
        <f t="shared" si="27"/>
        <v>-1.6637720107640526</v>
      </c>
      <c r="L211" s="5" t="s">
        <v>31</v>
      </c>
    </row>
    <row r="212" spans="1:20" ht="18.75" x14ac:dyDescent="0.25">
      <c r="A212" s="7">
        <v>10</v>
      </c>
      <c r="B212" s="60">
        <f t="shared" si="22"/>
        <v>1.2060393407727403</v>
      </c>
      <c r="C212" s="60">
        <f t="shared" si="23"/>
        <v>1.195215886300435</v>
      </c>
      <c r="D212" s="60">
        <f t="shared" si="24"/>
        <v>0.37224023672253637</v>
      </c>
      <c r="E212" s="60">
        <f t="shared" si="25"/>
        <v>-0.15989580763555011</v>
      </c>
      <c r="F212" s="60">
        <f t="shared" si="26"/>
        <v>-3.7854794520898807</v>
      </c>
      <c r="G212" s="60">
        <f t="shared" si="27"/>
        <v>-1.4649345650679351</v>
      </c>
      <c r="L212" s="75"/>
      <c r="M212" s="75" t="s">
        <v>36</v>
      </c>
      <c r="N212" s="75" t="s">
        <v>37</v>
      </c>
      <c r="O212" s="75" t="s">
        <v>38</v>
      </c>
      <c r="P212" s="75" t="s">
        <v>39</v>
      </c>
      <c r="Q212" s="75" t="s">
        <v>40</v>
      </c>
    </row>
    <row r="213" spans="1:20" ht="18.75" x14ac:dyDescent="0.25">
      <c r="A213" s="7">
        <v>11</v>
      </c>
      <c r="B213" s="60">
        <f t="shared" si="22"/>
        <v>-2.4192823735063818E-2</v>
      </c>
      <c r="C213" s="60">
        <f t="shared" si="23"/>
        <v>1.2248786300740182</v>
      </c>
      <c r="D213" s="60">
        <f t="shared" si="24"/>
        <v>1.377726522226921</v>
      </c>
      <c r="E213" s="60">
        <f t="shared" si="25"/>
        <v>1.3416748873520419</v>
      </c>
      <c r="F213" s="60">
        <f t="shared" si="26"/>
        <v>-4.7612752623299599</v>
      </c>
      <c r="G213" s="60">
        <f t="shared" si="27"/>
        <v>-1.8958460987136618</v>
      </c>
      <c r="L213" s="5" t="s">
        <v>32</v>
      </c>
      <c r="M213" s="5">
        <v>2</v>
      </c>
      <c r="N213" s="5">
        <v>78.7164784895661</v>
      </c>
      <c r="O213" s="5">
        <v>39.35823924478305</v>
      </c>
      <c r="P213" s="5">
        <v>32.437185066850638</v>
      </c>
      <c r="Q213" s="5">
        <v>1.4467651995835624E-5</v>
      </c>
    </row>
    <row r="214" spans="1:20" ht="18.75" x14ac:dyDescent="0.25">
      <c r="A214" s="7">
        <v>12</v>
      </c>
      <c r="B214" s="60">
        <f t="shared" si="22"/>
        <v>-0.25039258599057046</v>
      </c>
      <c r="C214" s="60">
        <f t="shared" si="23"/>
        <v>5.9815192966550867</v>
      </c>
      <c r="D214" s="60">
        <f t="shared" si="24"/>
        <v>2.5042195035651638</v>
      </c>
      <c r="E214" s="60">
        <f t="shared" si="25"/>
        <v>-1.1838815322584537</v>
      </c>
      <c r="F214" s="60">
        <f t="shared" si="26"/>
        <v>1.4350582470069213</v>
      </c>
      <c r="G214" s="60">
        <f t="shared" si="27"/>
        <v>-0.55559023212397562</v>
      </c>
      <c r="L214" s="5" t="s">
        <v>33</v>
      </c>
      <c r="M214" s="5">
        <v>12</v>
      </c>
      <c r="N214" s="5">
        <v>14.560414843767227</v>
      </c>
      <c r="O214" s="5">
        <v>1.2133679036472689</v>
      </c>
    </row>
    <row r="215" spans="1:20" ht="19.5" thickBot="1" x14ac:dyDescent="0.3">
      <c r="A215" s="7">
        <v>13</v>
      </c>
      <c r="B215" s="60">
        <f t="shared" si="22"/>
        <v>-5.8852884075804468E-2</v>
      </c>
      <c r="C215" s="60">
        <f t="shared" si="23"/>
        <v>-0.35607511174672268</v>
      </c>
      <c r="D215" s="60">
        <f t="shared" si="24"/>
        <v>-0.26449631364231685</v>
      </c>
      <c r="E215" s="60">
        <f t="shared" si="25"/>
        <v>-0.12666240650437999</v>
      </c>
      <c r="F215" s="60">
        <f t="shared" si="26"/>
        <v>1.4610105069815305</v>
      </c>
      <c r="G215" s="60">
        <f t="shared" si="27"/>
        <v>-0.63683870946019283</v>
      </c>
      <c r="L215" s="12" t="s">
        <v>34</v>
      </c>
      <c r="M215" s="12">
        <v>14</v>
      </c>
      <c r="N215" s="12">
        <v>93.276893333333334</v>
      </c>
      <c r="O215" s="12"/>
      <c r="P215" s="12"/>
      <c r="Q215" s="12"/>
    </row>
    <row r="216" spans="1:20" ht="19.5" thickBot="1" x14ac:dyDescent="0.3">
      <c r="A216" s="7">
        <v>14</v>
      </c>
      <c r="B216" s="60">
        <f t="shared" si="22"/>
        <v>1.0153960851106021</v>
      </c>
      <c r="C216" s="60">
        <f t="shared" si="23"/>
        <v>3.4131462282885963</v>
      </c>
      <c r="D216" s="60">
        <f t="shared" si="24"/>
        <v>9.4298504492612771</v>
      </c>
      <c r="E216" s="60">
        <f t="shared" si="25"/>
        <v>1.1084784695171379</v>
      </c>
      <c r="F216" s="60">
        <f t="shared" si="26"/>
        <v>4.3031739178550836</v>
      </c>
      <c r="G216" s="60">
        <f t="shared" si="27"/>
        <v>-2.040615034757792</v>
      </c>
    </row>
    <row r="217" spans="1:20" ht="18.75" x14ac:dyDescent="0.25">
      <c r="A217" s="7">
        <v>15</v>
      </c>
      <c r="B217" s="60">
        <f t="shared" si="22"/>
        <v>-2.7859573294138151</v>
      </c>
      <c r="C217" s="60">
        <f t="shared" si="23"/>
        <v>0.80144670955201747</v>
      </c>
      <c r="D217" s="60">
        <f t="shared" si="24"/>
        <v>8.2564012160183111</v>
      </c>
      <c r="E217" s="60">
        <f t="shared" si="25"/>
        <v>2.20828533755477</v>
      </c>
      <c r="F217" s="60">
        <f t="shared" si="26"/>
        <v>-2.6043858160398727</v>
      </c>
      <c r="G217" s="60">
        <f t="shared" si="27"/>
        <v>-1.1094143060388717</v>
      </c>
      <c r="H217" s="94"/>
      <c r="L217" s="75"/>
      <c r="M217" s="75" t="s">
        <v>41</v>
      </c>
      <c r="N217" s="75" t="s">
        <v>29</v>
      </c>
      <c r="O217" s="75" t="s">
        <v>42</v>
      </c>
      <c r="P217" s="75" t="s">
        <v>43</v>
      </c>
      <c r="Q217" s="75" t="s">
        <v>44</v>
      </c>
      <c r="R217" s="75" t="s">
        <v>45</v>
      </c>
      <c r="S217" s="75" t="s">
        <v>46</v>
      </c>
      <c r="T217" s="75" t="s">
        <v>47</v>
      </c>
    </row>
    <row r="218" spans="1:20" x14ac:dyDescent="0.25">
      <c r="A218" s="128" t="s">
        <v>247</v>
      </c>
      <c r="B218" s="128"/>
      <c r="C218" s="128"/>
      <c r="D218" s="128"/>
      <c r="E218" s="128"/>
      <c r="F218" s="128"/>
      <c r="G218" s="128"/>
      <c r="H218" s="129"/>
      <c r="L218" s="5" t="s">
        <v>17</v>
      </c>
      <c r="M218" s="43">
        <v>-6.1866040794814294</v>
      </c>
      <c r="N218" s="5">
        <v>3.0464740665723418</v>
      </c>
      <c r="O218" s="5">
        <v>-2.0307424072190186</v>
      </c>
      <c r="P218" s="5">
        <v>6.5043338249688401E-2</v>
      </c>
      <c r="Q218" s="5">
        <v>-12.824300860977742</v>
      </c>
      <c r="R218" s="5">
        <v>0.45109270201488272</v>
      </c>
      <c r="S218" s="5">
        <v>-12.824300860977742</v>
      </c>
      <c r="T218" s="5">
        <v>0.45109270201488272</v>
      </c>
    </row>
    <row r="219" spans="1:20" x14ac:dyDescent="0.25">
      <c r="A219" s="129"/>
      <c r="B219" s="129"/>
      <c r="C219" s="129"/>
      <c r="D219" s="129"/>
      <c r="E219" s="129"/>
      <c r="F219" s="129"/>
      <c r="G219" s="129"/>
      <c r="H219" s="129"/>
      <c r="L219" s="5" t="s">
        <v>135</v>
      </c>
      <c r="M219" s="81">
        <v>-2.6056808076980544E-2</v>
      </c>
      <c r="N219" s="5">
        <v>5.0730591615471832E-3</v>
      </c>
      <c r="O219" s="5">
        <v>-5.1363107046900138</v>
      </c>
      <c r="P219" s="5">
        <v>2.4650611095635496E-4</v>
      </c>
      <c r="Q219" s="5">
        <v>-3.7110054463820416E-2</v>
      </c>
      <c r="R219" s="5">
        <v>-1.5003561690140669E-2</v>
      </c>
      <c r="S219" s="5">
        <v>-3.7110054463820416E-2</v>
      </c>
      <c r="T219" s="5">
        <v>-1.5003561690140669E-2</v>
      </c>
    </row>
    <row r="220" spans="1:20" ht="15.75" thickBot="1" x14ac:dyDescent="0.3">
      <c r="L220" s="12" t="s">
        <v>137</v>
      </c>
      <c r="M220" s="44">
        <v>15.370929998820964</v>
      </c>
      <c r="N220" s="12">
        <v>3.357143067024472</v>
      </c>
      <c r="O220" s="12">
        <v>4.5785746070228219</v>
      </c>
      <c r="P220" s="12">
        <v>6.3399509687002724E-4</v>
      </c>
      <c r="Q220" s="12">
        <v>8.0563436133596564</v>
      </c>
      <c r="R220" s="12">
        <v>22.685516384282273</v>
      </c>
      <c r="S220" s="12">
        <v>8.0563436133596564</v>
      </c>
      <c r="T220" s="12">
        <v>22.685516384282273</v>
      </c>
    </row>
    <row r="221" spans="1:20" x14ac:dyDescent="0.25">
      <c r="A221" s="130" t="s">
        <v>248</v>
      </c>
      <c r="B221" s="130"/>
      <c r="C221" s="130"/>
      <c r="D221" s="130"/>
      <c r="E221" s="130"/>
      <c r="F221" s="131"/>
    </row>
    <row r="222" spans="1:20" ht="18.75" x14ac:dyDescent="0.25">
      <c r="A222" s="7" t="s">
        <v>249</v>
      </c>
      <c r="B222" s="7" t="s">
        <v>235</v>
      </c>
      <c r="C222" s="7" t="s">
        <v>237</v>
      </c>
      <c r="D222" s="7" t="s">
        <v>239</v>
      </c>
      <c r="E222" s="100" t="s">
        <v>240</v>
      </c>
      <c r="F222" s="94"/>
    </row>
    <row r="223" spans="1:20" ht="19.5" thickBot="1" x14ac:dyDescent="0.35">
      <c r="A223" s="40">
        <f>CORREL($B$203:$B$217, C203:C217)</f>
        <v>0.1240315948455218</v>
      </c>
      <c r="B223" s="40">
        <f t="shared" ref="B223:E223" si="28">CORREL($B$203:$B$217, D203:D217)</f>
        <v>-0.14604948340677562</v>
      </c>
      <c r="C223" s="109">
        <f t="shared" si="28"/>
        <v>-0.32492208113343141</v>
      </c>
      <c r="D223" s="40">
        <f t="shared" si="28"/>
        <v>1.197180063928688E-2</v>
      </c>
      <c r="E223" s="40">
        <f t="shared" si="28"/>
        <v>4.4082502397474806E-2</v>
      </c>
      <c r="L223" s="107" t="s">
        <v>250</v>
      </c>
    </row>
    <row r="224" spans="1:20" x14ac:dyDescent="0.25">
      <c r="L224" s="75"/>
      <c r="M224" s="75" t="s">
        <v>41</v>
      </c>
      <c r="N224" s="75" t="s">
        <v>29</v>
      </c>
      <c r="O224" s="75" t="s">
        <v>42</v>
      </c>
      <c r="P224" s="75" t="s">
        <v>43</v>
      </c>
      <c r="Q224" s="75" t="s">
        <v>44</v>
      </c>
      <c r="R224" s="75" t="s">
        <v>45</v>
      </c>
      <c r="S224" s="75" t="s">
        <v>46</v>
      </c>
      <c r="T224" s="75" t="s">
        <v>47</v>
      </c>
    </row>
    <row r="225" spans="12:20" x14ac:dyDescent="0.25">
      <c r="L225" s="5" t="s">
        <v>17</v>
      </c>
      <c r="M225" s="5">
        <v>-30.603305239864124</v>
      </c>
      <c r="N225" s="5">
        <v>8.5614246839152663</v>
      </c>
      <c r="O225" s="5">
        <v>-3.5745575496751059</v>
      </c>
      <c r="P225" s="5">
        <v>3.8202704895245192E-3</v>
      </c>
      <c r="Q225" s="5">
        <v>-49.257047181408403</v>
      </c>
      <c r="R225" s="5">
        <v>-11.949563298319845</v>
      </c>
      <c r="S225" s="5">
        <v>-49.257047181408403</v>
      </c>
      <c r="T225" s="5">
        <v>-11.949563298319845</v>
      </c>
    </row>
    <row r="226" spans="12:20" x14ac:dyDescent="0.25">
      <c r="L226" s="5" t="s">
        <v>135</v>
      </c>
      <c r="M226" s="5">
        <v>-5.174916796657681E-2</v>
      </c>
      <c r="N226" s="5">
        <v>1.4256682636888347E-2</v>
      </c>
      <c r="O226" s="5">
        <v>-3.6298183304353575</v>
      </c>
      <c r="P226" s="5">
        <v>3.4518687016797792E-3</v>
      </c>
      <c r="Q226" s="5">
        <v>-8.2811811004323152E-2</v>
      </c>
      <c r="R226" s="5">
        <v>-2.0686524928830465E-2</v>
      </c>
      <c r="S226" s="5">
        <v>-8.2811811004323152E-2</v>
      </c>
      <c r="T226" s="5">
        <v>-2.0686524928830465E-2</v>
      </c>
    </row>
    <row r="227" spans="12:20" ht="15.75" thickBot="1" x14ac:dyDescent="0.3">
      <c r="L227" s="12" t="s">
        <v>137</v>
      </c>
      <c r="M227" s="12">
        <v>54.879251366394989</v>
      </c>
      <c r="N227" s="12">
        <v>9.4344894764840461</v>
      </c>
      <c r="O227" s="12">
        <v>5.8168755716124725</v>
      </c>
      <c r="P227" s="12">
        <v>8.2529914966728178E-5</v>
      </c>
      <c r="Q227" s="12">
        <v>34.323264653671096</v>
      </c>
      <c r="R227" s="12">
        <v>75.435238079118875</v>
      </c>
      <c r="S227" s="12">
        <v>34.323264653671096</v>
      </c>
      <c r="T227" s="12">
        <v>75.435238079118875</v>
      </c>
    </row>
    <row r="230" spans="12:20" ht="19.5" thickBot="1" x14ac:dyDescent="0.35">
      <c r="L230" s="107" t="s">
        <v>241</v>
      </c>
    </row>
    <row r="231" spans="12:20" x14ac:dyDescent="0.25">
      <c r="L231" s="75"/>
      <c r="M231" s="75" t="s">
        <v>41</v>
      </c>
      <c r="N231" s="75" t="s">
        <v>29</v>
      </c>
      <c r="O231" s="75" t="s">
        <v>42</v>
      </c>
      <c r="P231" s="75" t="s">
        <v>43</v>
      </c>
      <c r="Q231" s="75" t="s">
        <v>44</v>
      </c>
      <c r="R231" s="75" t="s">
        <v>45</v>
      </c>
      <c r="S231" s="75" t="s">
        <v>46</v>
      </c>
      <c r="T231" s="75" t="s">
        <v>47</v>
      </c>
    </row>
    <row r="232" spans="12:20" x14ac:dyDescent="0.25">
      <c r="L232" s="5" t="s">
        <v>17</v>
      </c>
      <c r="M232" s="5">
        <v>-28.492817242299591</v>
      </c>
      <c r="N232" s="5">
        <v>13.524506675343243</v>
      </c>
      <c r="O232" s="5">
        <v>-2.1067546437198574</v>
      </c>
      <c r="P232" s="5">
        <v>5.6858600208541797E-2</v>
      </c>
      <c r="Q232" s="5">
        <v>-57.960185901457521</v>
      </c>
      <c r="R232" s="5">
        <v>0.97455141685833979</v>
      </c>
      <c r="S232" s="5">
        <v>-57.960185901457521</v>
      </c>
      <c r="T232" s="5">
        <v>0.97455141685833979</v>
      </c>
    </row>
    <row r="233" spans="12:20" x14ac:dyDescent="0.25">
      <c r="L233" s="5" t="s">
        <v>135</v>
      </c>
      <c r="M233" s="5">
        <v>-5.4420099154087173E-2</v>
      </c>
      <c r="N233" s="5">
        <v>2.2521321696971301E-2</v>
      </c>
      <c r="O233" s="5">
        <v>-2.4163812358048982</v>
      </c>
      <c r="P233" s="5">
        <v>3.2531668219349837E-2</v>
      </c>
      <c r="Q233" s="5">
        <v>-0.10348984380851116</v>
      </c>
      <c r="R233" s="5">
        <v>-5.3503544996631874E-3</v>
      </c>
      <c r="S233" s="5">
        <v>-0.10348984380851116</v>
      </c>
      <c r="T233" s="5">
        <v>-5.3503544996631874E-3</v>
      </c>
    </row>
    <row r="234" spans="12:20" ht="15.75" thickBot="1" x14ac:dyDescent="0.3">
      <c r="L234" s="12" t="s">
        <v>137</v>
      </c>
      <c r="M234" s="12">
        <v>47.957754563800719</v>
      </c>
      <c r="N234" s="12">
        <v>14.90368958602018</v>
      </c>
      <c r="O234" s="12">
        <v>3.2178444328836266</v>
      </c>
      <c r="P234" s="12">
        <v>7.383951709772651E-3</v>
      </c>
      <c r="Q234" s="12">
        <v>15.485404484402089</v>
      </c>
      <c r="R234" s="12">
        <v>80.430104643199343</v>
      </c>
      <c r="S234" s="12">
        <v>15.485404484402089</v>
      </c>
      <c r="T234" s="12">
        <v>80.430104643199343</v>
      </c>
    </row>
    <row r="237" spans="12:20" ht="19.5" thickBot="1" x14ac:dyDescent="0.35">
      <c r="L237" s="107" t="s">
        <v>243</v>
      </c>
    </row>
    <row r="238" spans="12:20" x14ac:dyDescent="0.25">
      <c r="L238" s="75"/>
      <c r="M238" s="75" t="s">
        <v>41</v>
      </c>
      <c r="N238" s="75" t="s">
        <v>29</v>
      </c>
      <c r="O238" s="75" t="s">
        <v>42</v>
      </c>
      <c r="P238" s="75" t="s">
        <v>43</v>
      </c>
      <c r="Q238" s="75" t="s">
        <v>44</v>
      </c>
      <c r="R238" s="75" t="s">
        <v>45</v>
      </c>
      <c r="S238" s="75" t="s">
        <v>46</v>
      </c>
      <c r="T238" s="75" t="s">
        <v>47</v>
      </c>
    </row>
    <row r="239" spans="12:20" x14ac:dyDescent="0.25">
      <c r="L239" s="5" t="s">
        <v>17</v>
      </c>
      <c r="M239" s="5">
        <v>51.269489371976682</v>
      </c>
      <c r="N239" s="5">
        <v>4.7171861874864449</v>
      </c>
      <c r="O239" s="5">
        <v>10.868659267251788</v>
      </c>
      <c r="P239" s="5">
        <v>1.4457224849518889E-7</v>
      </c>
      <c r="Q239" s="5">
        <v>40.991623586752176</v>
      </c>
      <c r="R239" s="5">
        <v>61.547355157201189</v>
      </c>
      <c r="S239" s="5">
        <v>40.991623586752176</v>
      </c>
      <c r="T239" s="5">
        <v>61.547355157201189</v>
      </c>
    </row>
    <row r="240" spans="12:20" x14ac:dyDescent="0.25">
      <c r="L240" s="5" t="s">
        <v>135</v>
      </c>
      <c r="M240" s="5">
        <v>-3.7183837995439124E-2</v>
      </c>
      <c r="N240" s="5">
        <v>7.8551676732560426E-3</v>
      </c>
      <c r="O240" s="5">
        <v>-4.7336784575632187</v>
      </c>
      <c r="P240" s="5">
        <v>4.8547710124680581E-4</v>
      </c>
      <c r="Q240" s="5">
        <v>-5.4298778101116663E-2</v>
      </c>
      <c r="R240" s="5">
        <v>-2.0068897889761586E-2</v>
      </c>
      <c r="S240" s="5">
        <v>-5.4298778101116663E-2</v>
      </c>
      <c r="T240" s="5">
        <v>-2.0068897889761586E-2</v>
      </c>
    </row>
    <row r="241" spans="12:20" ht="15.75" thickBot="1" x14ac:dyDescent="0.3">
      <c r="L241" s="12" t="s">
        <v>137</v>
      </c>
      <c r="M241" s="12">
        <v>27.771851964214022</v>
      </c>
      <c r="N241" s="12">
        <v>5.1982286929497716</v>
      </c>
      <c r="O241" s="12">
        <v>5.3425606306779647</v>
      </c>
      <c r="P241" s="12">
        <v>1.7572129314101233E-4</v>
      </c>
      <c r="Q241" s="12">
        <v>16.445884596470751</v>
      </c>
      <c r="R241" s="12">
        <v>39.097819331957297</v>
      </c>
      <c r="S241" s="12">
        <v>16.445884596470751</v>
      </c>
      <c r="T241" s="12">
        <v>39.097819331957297</v>
      </c>
    </row>
    <row r="244" spans="12:20" ht="19.5" thickBot="1" x14ac:dyDescent="0.35">
      <c r="L244" s="107" t="s">
        <v>245</v>
      </c>
    </row>
    <row r="245" spans="12:20" x14ac:dyDescent="0.25">
      <c r="L245" s="75"/>
      <c r="M245" s="75" t="s">
        <v>41</v>
      </c>
      <c r="N245" s="75" t="s">
        <v>29</v>
      </c>
      <c r="O245" s="75" t="s">
        <v>42</v>
      </c>
      <c r="P245" s="75" t="s">
        <v>43</v>
      </c>
      <c r="Q245" s="75" t="s">
        <v>44</v>
      </c>
      <c r="R245" s="75" t="s">
        <v>45</v>
      </c>
      <c r="S245" s="75" t="s">
        <v>46</v>
      </c>
      <c r="T245" s="75" t="s">
        <v>47</v>
      </c>
    </row>
    <row r="246" spans="12:20" x14ac:dyDescent="0.25">
      <c r="L246" s="5" t="s">
        <v>17</v>
      </c>
      <c r="M246" s="5">
        <v>53.272899948854786</v>
      </c>
      <c r="N246" s="5">
        <v>16.161949393438878</v>
      </c>
      <c r="O246" s="5">
        <v>3.2961927210638038</v>
      </c>
      <c r="P246" s="5">
        <v>6.3856296199491366E-3</v>
      </c>
      <c r="Q246" s="5">
        <v>18.05903725799768</v>
      </c>
      <c r="R246" s="5">
        <v>88.486762639711884</v>
      </c>
      <c r="S246" s="5">
        <v>18.05903725799768</v>
      </c>
      <c r="T246" s="5">
        <v>88.486762639711884</v>
      </c>
    </row>
    <row r="247" spans="12:20" x14ac:dyDescent="0.25">
      <c r="L247" s="5" t="s">
        <v>135</v>
      </c>
      <c r="M247" s="5">
        <v>0.12432963343213858</v>
      </c>
      <c r="N247" s="5">
        <v>2.6913252385271896E-2</v>
      </c>
      <c r="O247" s="5">
        <v>4.6196435738170827</v>
      </c>
      <c r="P247" s="5">
        <v>5.9055403054604212E-4</v>
      </c>
      <c r="Q247" s="5">
        <v>6.5690693847036047E-2</v>
      </c>
      <c r="R247" s="5">
        <v>0.18296857301724112</v>
      </c>
      <c r="S247" s="5">
        <v>6.5690693847036047E-2</v>
      </c>
      <c r="T247" s="5">
        <v>0.18296857301724112</v>
      </c>
    </row>
    <row r="248" spans="12:20" ht="15.75" thickBot="1" x14ac:dyDescent="0.3">
      <c r="L248" s="12" t="s">
        <v>137</v>
      </c>
      <c r="M248" s="12">
        <v>-14.053910493932673</v>
      </c>
      <c r="N248" s="12">
        <v>17.810089687331757</v>
      </c>
      <c r="O248" s="12">
        <v>-0.78909824378532811</v>
      </c>
      <c r="P248" s="12">
        <v>0.44536590561048717</v>
      </c>
      <c r="Q248" s="12">
        <v>-52.858762402215106</v>
      </c>
      <c r="R248" s="12">
        <v>24.750941414349757</v>
      </c>
      <c r="S248" s="12">
        <v>-52.858762402215106</v>
      </c>
      <c r="T248" s="12">
        <v>24.750941414349757</v>
      </c>
    </row>
    <row r="251" spans="12:20" ht="19.5" thickBot="1" x14ac:dyDescent="0.35">
      <c r="L251" s="107" t="s">
        <v>246</v>
      </c>
    </row>
    <row r="252" spans="12:20" x14ac:dyDescent="0.25">
      <c r="L252" s="75"/>
      <c r="M252" s="75" t="s">
        <v>41</v>
      </c>
      <c r="N252" s="75" t="s">
        <v>29</v>
      </c>
      <c r="O252" s="75" t="s">
        <v>42</v>
      </c>
      <c r="P252" s="75" t="s">
        <v>43</v>
      </c>
      <c r="Q252" s="75" t="s">
        <v>44</v>
      </c>
      <c r="R252" s="75" t="s">
        <v>45</v>
      </c>
      <c r="S252" s="75" t="s">
        <v>46</v>
      </c>
      <c r="T252" s="75" t="s">
        <v>47</v>
      </c>
    </row>
    <row r="253" spans="12:20" x14ac:dyDescent="0.25">
      <c r="L253" s="5" t="s">
        <v>17</v>
      </c>
      <c r="M253" s="5">
        <v>76.42928278916547</v>
      </c>
      <c r="N253" s="5">
        <v>6.9180600159068257</v>
      </c>
      <c r="O253" s="5">
        <v>11.047791232430795</v>
      </c>
      <c r="P253" s="5">
        <v>1.2080508773574986E-7</v>
      </c>
      <c r="Q253" s="5">
        <v>61.356124870099805</v>
      </c>
      <c r="R253" s="5">
        <v>91.502440708231134</v>
      </c>
      <c r="S253" s="5">
        <v>61.356124870099805</v>
      </c>
      <c r="T253" s="5">
        <v>91.502440708231134</v>
      </c>
    </row>
    <row r="254" spans="12:20" x14ac:dyDescent="0.25">
      <c r="L254" s="5" t="s">
        <v>135</v>
      </c>
      <c r="M254" s="5">
        <v>-1.8560025487897092E-2</v>
      </c>
      <c r="N254" s="5">
        <v>1.1520113737031211E-2</v>
      </c>
      <c r="O254" s="5">
        <v>-1.6110974172274188</v>
      </c>
      <c r="P254" s="5">
        <v>0.13313251238334742</v>
      </c>
      <c r="Q254" s="5">
        <v>-4.3660197097366377E-2</v>
      </c>
      <c r="R254" s="5">
        <v>6.54014612157219E-3</v>
      </c>
      <c r="S254" s="5">
        <v>-4.3660197097366377E-2</v>
      </c>
      <c r="T254" s="5">
        <v>6.54014612157219E-3</v>
      </c>
    </row>
    <row r="255" spans="12:20" ht="15.75" thickBot="1" x14ac:dyDescent="0.3">
      <c r="L255" s="12" t="s">
        <v>137</v>
      </c>
      <c r="M255" s="12">
        <v>-80.384064549761575</v>
      </c>
      <c r="N255" s="12">
        <v>7.6235401031303365</v>
      </c>
      <c r="O255" s="12">
        <v>-10.544191210688943</v>
      </c>
      <c r="P255" s="12">
        <v>2.0142848212869331E-7</v>
      </c>
      <c r="Q255" s="12">
        <v>-96.994331533944575</v>
      </c>
      <c r="R255" s="12">
        <v>-63.773797565578576</v>
      </c>
      <c r="S255" s="12">
        <v>-96.994331533944575</v>
      </c>
      <c r="T255" s="12">
        <v>-63.773797565578576</v>
      </c>
    </row>
    <row r="256" spans="12:20" x14ac:dyDescent="0.25">
      <c r="L256"/>
      <c r="M256"/>
      <c r="N256"/>
      <c r="O256"/>
      <c r="P256"/>
      <c r="Q256"/>
      <c r="R256"/>
      <c r="S256"/>
      <c r="T256"/>
    </row>
    <row r="257" customFormat="1" x14ac:dyDescent="0.25"/>
    <row r="258" customFormat="1" x14ac:dyDescent="0.25"/>
    <row r="267" customFormat="1" x14ac:dyDescent="0.25"/>
    <row r="268" customFormat="1" x14ac:dyDescent="0.25"/>
  </sheetData>
  <mergeCells count="8">
    <mergeCell ref="A35:H36"/>
    <mergeCell ref="A218:H219"/>
    <mergeCell ref="A221:F221"/>
    <mergeCell ref="A38:F38"/>
    <mergeCell ref="A93:F93"/>
    <mergeCell ref="A154:H155"/>
    <mergeCell ref="A157:F157"/>
    <mergeCell ref="A90:G9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4</vt:i4>
      </vt:variant>
    </vt:vector>
  </HeadingPairs>
  <TitlesOfParts>
    <vt:vector size="15" baseType="lpstr">
      <vt:lpstr>4.1(86)</vt:lpstr>
      <vt:lpstr>4.2(87-93)</vt:lpstr>
      <vt:lpstr>4.3(97-100)</vt:lpstr>
      <vt:lpstr>4.4(105-108)</vt:lpstr>
      <vt:lpstr>4.5(114-120)</vt:lpstr>
      <vt:lpstr>4.6(128-130)</vt:lpstr>
      <vt:lpstr>Пример 4.7 (130-131)</vt:lpstr>
      <vt:lpstr>Пример 4.8 (131-134)</vt:lpstr>
      <vt:lpstr>Пример 4.9 (145-148)</vt:lpstr>
      <vt:lpstr>Пример 4.10 (153-157)</vt:lpstr>
      <vt:lpstr>Пример 4.11 (157-163)</vt:lpstr>
      <vt:lpstr>'4.3(97-100)'!Извлечь</vt:lpstr>
      <vt:lpstr>'4.4(105-108)'!Извлечь</vt:lpstr>
      <vt:lpstr>'4.3(97-100)'!Критерии</vt:lpstr>
      <vt:lpstr>'4.4(105-108)'!Критерии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Сергеевна</dc:creator>
  <cp:lastModifiedBy>Артём Титов</cp:lastModifiedBy>
  <dcterms:created xsi:type="dcterms:W3CDTF">2026-03-02T11:39:13Z</dcterms:created>
  <dcterms:modified xsi:type="dcterms:W3CDTF">2026-05-11T12:27:50Z</dcterms:modified>
</cp:coreProperties>
</file>